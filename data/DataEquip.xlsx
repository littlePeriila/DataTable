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EquipData" sheetId="2" r:id="rId1"/>
    <sheet name="AffixData" sheetId="4" r:id="rId2"/>
    <sheet name="Sheet3" sheetId="3" r:id="rId3"/>
    <sheet name="EquipLevelData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M6" i="5" l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3" i="3"/>
  <c r="M3" i="3"/>
  <c r="G3" i="3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F5" i="5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G5" i="5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H5" i="5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I5" i="5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J5" i="5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K5" i="5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L5" i="5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M5" i="5"/>
  <c r="B2" i="3" l="1"/>
  <c r="B3" i="3"/>
  <c r="B4" i="3"/>
  <c r="B5" i="3"/>
  <c r="B6" i="3"/>
  <c r="B7" i="3"/>
  <c r="B8" i="3"/>
  <c r="B9" i="3"/>
  <c r="B10" i="3"/>
  <c r="B11" i="3"/>
  <c r="B12" i="3"/>
  <c r="B1" i="3"/>
  <c r="J5" i="2" l="1"/>
  <c r="J6" i="2"/>
  <c r="J7" i="2"/>
  <c r="J8" i="2"/>
  <c r="J4" i="2"/>
</calcChain>
</file>

<file path=xl/sharedStrings.xml><?xml version="1.0" encoding="utf-8"?>
<sst xmlns="http://schemas.openxmlformats.org/spreadsheetml/2006/main" count="113" uniqueCount="54">
  <si>
    <t xml:space="preserve">#name</t>
  </si>
  <si>
    <t xml:space="preserve">#type</t>
  </si>
  <si>
    <t xml:space="preserve">Equip</t>
    <phoneticPr fontId="1" type="noConversion"/>
  </si>
  <si>
    <t xml:space="preserve">Armor</t>
    <phoneticPr fontId="1" type="noConversion"/>
  </si>
  <si>
    <t xml:space="preserve">Helmet</t>
    <phoneticPr fontId="1" type="noConversion"/>
  </si>
  <si>
    <t xml:space="preserve">Back</t>
    <phoneticPr fontId="1" type="noConversion"/>
  </si>
  <si>
    <t xml:space="preserve">Ghost</t>
  </si>
  <si>
    <t xml:space="preserve">HP</t>
    <phoneticPr fontId="1" type="noConversion"/>
  </si>
  <si>
    <t xml:space="preserve">Hit</t>
    <phoneticPr fontId="1" type="noConversion"/>
  </si>
  <si>
    <t xml:space="preserve">Miss</t>
    <phoneticPr fontId="1" type="noConversion"/>
  </si>
  <si>
    <t xml:space="preserve">Crit</t>
    <phoneticPr fontId="1" type="noConversion"/>
  </si>
  <si>
    <t xml:space="preserve">CritDMG</t>
    <phoneticPr fontId="1" type="noConversion"/>
  </si>
  <si>
    <t xml:space="preserve">Energy_RE</t>
    <phoneticPr fontId="1" type="noConversion"/>
  </si>
  <si>
    <t xml:space="preserve">enum</t>
    <phoneticPr fontId="1" type="noConversion"/>
  </si>
  <si>
    <t xml:space="preserve">Main</t>
    <phoneticPr fontId="1" type="noConversion"/>
  </si>
  <si>
    <t xml:space="preserve">int[]</t>
    <phoneticPr fontId="1" type="noConversion"/>
  </si>
  <si>
    <t xml:space="preserve">a</t>
    <phoneticPr fontId="1" type="noConversion"/>
  </si>
  <si>
    <t xml:space="preserve">b</t>
    <phoneticPr fontId="1" type="noConversion"/>
  </si>
  <si>
    <t xml:space="preserve">c</t>
    <phoneticPr fontId="1" type="noConversion"/>
  </si>
  <si>
    <t xml:space="preserve">ATK</t>
    <phoneticPr fontId="1" type="noConversion"/>
  </si>
  <si>
    <t xml:space="preserve">,</t>
    <phoneticPr fontId="1" type="noConversion"/>
  </si>
  <si>
    <t xml:space="preserve">HP</t>
    <phoneticPr fontId="1" type="noConversion"/>
  </si>
  <si>
    <t xml:space="preserve">Recover</t>
    <phoneticPr fontId="1" type="noConversion"/>
  </si>
  <si>
    <t xml:space="preserve">HPRate</t>
    <phoneticPr fontId="1" type="noConversion"/>
  </si>
  <si>
    <t xml:space="preserve">DEFRate</t>
    <phoneticPr fontId="1" type="noConversion"/>
  </si>
  <si>
    <t xml:space="preserve">d</t>
    <phoneticPr fontId="1" type="noConversion"/>
  </si>
  <si>
    <t xml:space="preserve">e</t>
    <phoneticPr fontId="1" type="noConversion"/>
  </si>
  <si>
    <t xml:space="preserve">#EquipData</t>
    <phoneticPr fontId="1" type="noConversion"/>
  </si>
  <si>
    <t xml:space="preserve">Main</t>
    <phoneticPr fontId="1" type="noConversion"/>
  </si>
  <si>
    <t xml:space="preserve">MainMax</t>
    <phoneticPr fontId="1" type="noConversion"/>
  </si>
  <si>
    <t xml:space="preserve">SubMin</t>
    <phoneticPr fontId="1" type="noConversion"/>
  </si>
  <si>
    <t xml:space="preserve">SubMax</t>
    <phoneticPr fontId="1" type="noConversion"/>
  </si>
  <si>
    <t xml:space="preserve">enum</t>
    <phoneticPr fontId="1" type="noConversion"/>
  </si>
  <si>
    <t xml:space="preserve">float</t>
    <phoneticPr fontId="1" type="noConversion"/>
  </si>
  <si>
    <t xml:space="preserve">float</t>
    <phoneticPr fontId="1" type="noConversion"/>
  </si>
  <si>
    <t xml:space="preserve">#AffixData</t>
    <phoneticPr fontId="1" type="noConversion"/>
  </si>
  <si>
    <t xml:space="preserve">f</t>
    <phoneticPr fontId="1" type="noConversion"/>
  </si>
  <si>
    <t xml:space="preserve">Affix</t>
    <phoneticPr fontId="1" type="noConversion"/>
  </si>
  <si>
    <t xml:space="preserve">DEF</t>
    <phoneticPr fontId="1" type="noConversion"/>
  </si>
  <si>
    <t xml:space="preserve">DEFRate</t>
    <phoneticPr fontId="1" type="noConversion"/>
  </si>
  <si>
    <t xml:space="preserve">ATKRate</t>
    <phoneticPr fontId="1" type="noConversion"/>
  </si>
  <si>
    <t xml:space="preserve">Crit</t>
    <phoneticPr fontId="1" type="noConversion"/>
  </si>
  <si>
    <t xml:space="preserve">Energy_RE</t>
    <phoneticPr fontId="1" type="noConversion"/>
  </si>
  <si>
    <t xml:space="preserve">Recover</t>
    <phoneticPr fontId="1" type="noConversion"/>
  </si>
  <si>
    <t xml:space="preserve">id</t>
    <phoneticPr fontId="1" type="noConversion"/>
  </si>
  <si>
    <t xml:space="preserve">int</t>
    <phoneticPr fontId="1" type="noConversion"/>
  </si>
  <si>
    <t xml:space="preserve">int</t>
    <phoneticPr fontId="1" type="noConversion"/>
  </si>
  <si>
    <t xml:space="preserve">id</t>
    <phoneticPr fontId="1" type="noConversion"/>
  </si>
  <si>
    <t xml:space="preserve">Pants</t>
    <phoneticPr fontId="1" type="noConversion"/>
  </si>
  <si>
    <t xml:space="preserve">#EquipLevelData</t>
    <phoneticPr fontId="1" type="noConversion"/>
  </si>
  <si>
    <t xml:space="preserve">id</t>
    <phoneticPr fontId="1" type="noConversion"/>
  </si>
  <si>
    <t xml:space="preserve">level</t>
    <phoneticPr fontId="1" type="noConversion"/>
  </si>
  <si>
    <t xml:space="preserve">float</t>
    <phoneticPr fontId="1" type="noConversion"/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</si>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</sst>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externalLink" Target="externalLinks/externalLink1.xml" /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9" Type="http://schemas.openxmlformats.org/officeDocument/2006/relationships/calcChain" Target="calcChain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file:///D:/UnityProject/MetaTrace/DataTable/data/Enum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Sheet1"/>
    </sheetNames>
    <sheetDataSet>
      <sheetData sheetId="0">
        <row r="2">
          <cell r="K2" t="str">
            <v>HP</v>
          </cell>
        </row>
        <row r="3">
          <cell r="K3" t="str">
            <v>HPRate</v>
          </cell>
        </row>
        <row r="4">
          <cell r="K4" t="str">
            <v>DEF</v>
          </cell>
        </row>
        <row r="5">
          <cell r="K5" t="str">
            <v>DEFRate</v>
          </cell>
        </row>
        <row r="6">
          <cell r="K6" t="str">
            <v>ATK</v>
          </cell>
        </row>
        <row r="7">
          <cell r="K7" t="str">
            <v>ATKRate</v>
          </cell>
        </row>
        <row r="8">
          <cell r="K8" t="str">
            <v>Crit</v>
          </cell>
        </row>
        <row r="9">
          <cell r="K9" t="str">
            <v>CritDMG</v>
          </cell>
        </row>
        <row r="10">
          <cell r="K10" t="str">
            <v>Energy_RE</v>
          </cell>
        </row>
        <row r="11">
          <cell r="K11" t="str">
            <v>Recover</v>
          </cell>
        </row>
        <row r="12">
          <cell r="K12" t="str">
            <v>Hit</v>
          </cell>
        </row>
        <row r="13">
          <cell r="K13" t="str">
            <v>Miss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workbookViewId="0">
      <selection activeCell="J11" sqref="J11"/>
    </sheetView>
  </sheetViews>
  <sheetFormatPr defaultRowHeight="13.5" x14ac:dyDescent="0.15"/>
  <cols>
    <col min="1" max="2" width="11.5" customWidth="1"/>
    <col min="6" max="6" width="6.75" customWidth="1"/>
    <col min="7" max="9" width="11" customWidth="1"/>
    <col min="10" max="10" width="17.5" customWidth="1"/>
  </cols>
  <sheetData>
    <row r="1" spans="1:10" x14ac:dyDescent="0.15">
      <c r="A1" t="s">
        <v>27</v>
      </c>
    </row>
    <row r="2" spans="1:10" x14ac:dyDescent="0.15">
      <c r="A2" t="s">
        <v>0</v>
      </c>
      <c r="B2" t="s">
        <v>47</v>
      </c>
      <c r="C2" t="s">
        <v>2</v>
      </c>
      <c r="D2" t="s">
        <v>16</v>
      </c>
      <c r="E2" t="s">
        <v>17</v>
      </c>
      <c r="F2" t="s">
        <v>18</v>
      </c>
      <c r="G2" t="s">
        <v>25</v>
      </c>
      <c r="H2" t="s">
        <v>26</v>
      </c>
      <c r="I2" t="s">
        <v>36</v>
      </c>
      <c r="J2" s="1" t="s">
        <v>14</v>
      </c>
    </row>
    <row r="3" spans="1:10" x14ac:dyDescent="0.15">
      <c r="A3" t="s">
        <v>53</v>
      </c>
      <c r="B3" t="s">
        <v>46</v>
      </c>
      <c r="C3" t="s">
        <v>45</v>
      </c>
      <c r="J3" s="1" t="s">
        <v>15</v>
      </c>
    </row>
    <row r="4" spans="1:10" x14ac:dyDescent="0.15">
      <c r="B4">
        <v>1</v>
      </c>
      <c r="C4">
        <v>0</v>
      </c>
      <c r="D4" t="s">
        <v>21</v>
      </c>
      <c r="J4" t="str">
        <f>INDEX(Sheet3!$A$1:$A$13,MATCH(EquipData!$D4,Sheet3!$B$1:$B$13,0))&amp;Sheet3!$C$1&amp;INDEX(Sheet3!$A$1:$A$13,MATCH(EquipData!$E4,Sheet3!$B$1:$B$13,0))&amp;Sheet3!$C$1&amp;INDEX(Sheet3!$A$1:$A$13,MATCH(EquipData!$F4,Sheet3!$B$1:$B$13,0))&amp;Sheet3!$C$1&amp;INDEX(Sheet3!$A$1:$A$13,MATCH(EquipData!$G4,Sheet3!$B$1:$B$13,0))&amp;Sheet3!$C$1&amp;INDEX(Sheet3!$A$1:$A$13,MATCH(EquipData!$H4,Sheet3!$B$1:$B$13,0))&amp;Sheet3!$C$1&amp;INDEX(Sheet3!$A$1:$A$13,MATCH(EquipData!$I4,Sheet3!$B$1:$B$13,0))</f>
        <v>0,,,,,</v>
      </c>
    </row>
    <row r="5" spans="1:10" x14ac:dyDescent="0.15">
      <c r="B5">
        <v>2</v>
      </c>
      <c r="C5">
        <v>1</v>
      </c>
      <c r="D5" t="s">
        <v>24</v>
      </c>
      <c r="J5" t="str">
        <f>INDEX(Sheet3!$A$1:$A$13,MATCH(EquipData!$D5,Sheet3!$B$1:$B$13,0))&amp;Sheet3!$C$1&amp;INDEX(Sheet3!$A$1:$A$13,MATCH(EquipData!$E5,Sheet3!$B$1:$B$13,0))&amp;Sheet3!$C$1&amp;INDEX(Sheet3!$A$1:$A$13,MATCH(EquipData!$F5,Sheet3!$B$1:$B$13,0))&amp;Sheet3!$C$1&amp;INDEX(Sheet3!$A$1:$A$13,MATCH(EquipData!$G5,Sheet3!$B$1:$B$13,0))&amp;Sheet3!$C$1&amp;INDEX(Sheet3!$A$1:$A$13,MATCH(EquipData!$H5,Sheet3!$B$1:$B$13,0))&amp;Sheet3!$C$1&amp;INDEX(Sheet3!$A$1:$A$13,MATCH(EquipData!$I5,Sheet3!$B$1:$B$13,0))</f>
        <v>3,,,,,</v>
      </c>
    </row>
    <row r="6" spans="1:10" x14ac:dyDescent="0.15">
      <c r="B6">
        <v>3</v>
      </c>
      <c r="C6">
        <v>2</v>
      </c>
      <c r="D6" t="s">
        <v>7</v>
      </c>
      <c r="E6" t="s">
        <v>24</v>
      </c>
      <c r="F6" t="s">
        <v>19</v>
      </c>
      <c r="G6" s="2" t="s">
        <v>23</v>
      </c>
      <c r="H6" t="s">
        <v>12</v>
      </c>
      <c r="I6" s="2" t="s">
        <v>22</v>
      </c>
      <c r="J6" t="str">
        <f>INDEX(Sheet3!$A$1:$A$13,MATCH(EquipData!$D6,Sheet3!$B$1:$B$13,0))&amp;Sheet3!$C$1&amp;INDEX(Sheet3!$A$1:$A$13,MATCH(EquipData!$E6,Sheet3!$B$1:$B$13,0))&amp;Sheet3!$C$1&amp;INDEX(Sheet3!$A$1:$A$13,MATCH(EquipData!$F6,Sheet3!$B$1:$B$13,0))&amp;Sheet3!$C$1&amp;INDEX(Sheet3!$A$1:$A$13,MATCH(EquipData!$G6,Sheet3!$B$1:$B$13,0))&amp;Sheet3!$C$1&amp;INDEX(Sheet3!$A$1:$A$13,MATCH(EquipData!$H6,Sheet3!$B$1:$B$13,0))&amp;Sheet3!$C$1&amp;INDEX(Sheet3!$A$1:$A$13,MATCH(EquipData!$I6,Sheet3!$B$1:$B$13,0))</f>
        <v>0,3,4,1,8,9</v>
      </c>
    </row>
    <row r="7" spans="1:10" x14ac:dyDescent="0.15">
      <c r="B7">
        <v>4</v>
      </c>
      <c r="C7">
        <v>3</v>
      </c>
      <c r="D7" t="s">
        <v>7</v>
      </c>
      <c r="E7" t="s">
        <v>24</v>
      </c>
      <c r="F7" t="s">
        <v>19</v>
      </c>
      <c r="G7" s="2" t="s">
        <v>23</v>
      </c>
      <c r="H7" t="s">
        <v>9</v>
      </c>
      <c r="I7" t="s">
        <v>8</v>
      </c>
      <c r="J7" t="str">
        <f>INDEX(Sheet3!$A$1:$A$13,MATCH(EquipData!$D7,Sheet3!$B$1:$B$13,0))&amp;Sheet3!$C$1&amp;INDEX(Sheet3!$A$1:$A$13,MATCH(EquipData!$E7,Sheet3!$B$1:$B$13,0))&amp;Sheet3!$C$1&amp;INDEX(Sheet3!$A$1:$A$13,MATCH(EquipData!$F7,Sheet3!$B$1:$B$13,0))&amp;Sheet3!$C$1&amp;INDEX(Sheet3!$A$1:$A$13,MATCH(EquipData!$G7,Sheet3!$B$1:$B$13,0))&amp;Sheet3!$C$1&amp;INDEX(Sheet3!$A$1:$A$13,MATCH(EquipData!$H7,Sheet3!$B$1:$B$13,0))&amp;Sheet3!$C$1&amp;INDEX(Sheet3!$A$1:$A$13,MATCH(EquipData!$I7,Sheet3!$B$1:$B$13,0))</f>
        <v>0,3,4,1,11,10</v>
      </c>
    </row>
    <row r="8" spans="1:10" x14ac:dyDescent="0.15">
      <c r="B8">
        <v>5</v>
      </c>
      <c r="C8">
        <v>4</v>
      </c>
      <c r="D8" t="s">
        <v>7</v>
      </c>
      <c r="E8" t="s">
        <v>24</v>
      </c>
      <c r="F8" t="s">
        <v>19</v>
      </c>
      <c r="G8" s="2" t="s">
        <v>23</v>
      </c>
      <c r="H8" t="s">
        <v>10</v>
      </c>
      <c r="I8" t="s">
        <v>11</v>
      </c>
      <c r="J8" t="str">
        <f>INDEX(Sheet3!$A$1:$A$13,MATCH(EquipData!$D8,Sheet3!$B$1:$B$13,0))&amp;Sheet3!$C$1&amp;INDEX(Sheet3!$A$1:$A$13,MATCH(EquipData!$E8,Sheet3!$B$1:$B$13,0))&amp;Sheet3!$C$1&amp;INDEX(Sheet3!$A$1:$A$13,MATCH(EquipData!$F8,Sheet3!$B$1:$B$13,0))&amp;Sheet3!$C$1&amp;INDEX(Sheet3!$A$1:$A$13,MATCH(EquipData!$G8,Sheet3!$B$1:$B$13,0))&amp;Sheet3!$C$1&amp;INDEX(Sheet3!$A$1:$A$13,MATCH(EquipData!$H8,Sheet3!$B$1:$B$13,0))&amp;Sheet3!$C$1&amp;INDEX(Sheet3!$A$1:$A$13,MATCH(EquipData!$I8,Sheet3!$B$1:$B$13,0))</f>
        <v>0,3,4,1,6,7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tabSelected="1" workbookViewId="0">
      <selection activeCell="N8" sqref="N8"/>
    </sheetView>
  </sheetViews>
  <sheetFormatPr defaultRowHeight="13.5" x14ac:dyDescent="0.15"/>
  <cols>
    <col min="4" max="4" width="12.5" customWidth="1"/>
    <col min="5" max="5" width="14" style="1" customWidth="1"/>
    <col min="6" max="8" width="9" style="1"/>
  </cols>
  <sheetData>
    <row r="1" spans="1:7" x14ac:dyDescent="0.15">
      <c r="A1" t="s">
        <v>35</v>
      </c>
    </row>
    <row r="2" spans="1:7" x14ac:dyDescent="0.15">
      <c r="A2" t="s">
        <v>0</v>
      </c>
      <c r="B2" t="s">
        <v>44</v>
      </c>
      <c r="C2" t="s">
        <v>37</v>
      </c>
      <c r="D2" s="1" t="s">
        <v>28</v>
      </c>
      <c r="E2" s="1" t="s">
        <v>29</v>
      </c>
      <c r="F2" s="1" t="s">
        <v>30</v>
      </c>
      <c r="G2" s="1" t="s">
        <v>31</v>
      </c>
    </row>
    <row r="3" spans="1:7" x14ac:dyDescent="0.15">
      <c r="A3" t="s">
        <v>53</v>
      </c>
      <c r="B3" t="s">
        <v>45</v>
      </c>
      <c r="C3" s="1" t="s">
        <v>45</v>
      </c>
      <c r="D3" s="1" t="s">
        <v>33</v>
      </c>
      <c r="E3" s="1" t="s">
        <v>34</v>
      </c>
      <c r="F3" s="1" t="s">
        <v>34</v>
      </c>
      <c r="G3" s="1" t="s">
        <v>34</v>
      </c>
    </row>
    <row r="4" spans="1:7" x14ac:dyDescent="0.15">
      <c r="B4">
        <v>1</v>
      </c>
      <c r="C4" s="1">
        <v>0</v>
      </c>
      <c r="D4" s="1">
        <v>717</v>
      </c>
      <c r="E4" s="1">
        <v>4780</v>
      </c>
      <c r="F4" s="3">
        <v>209</v>
      </c>
      <c r="G4" s="2">
        <v>299</v>
      </c>
    </row>
    <row r="5" spans="1:7" x14ac:dyDescent="0.15">
      <c r="B5">
        <v>2</v>
      </c>
      <c r="C5" s="2">
        <v>1</v>
      </c>
      <c r="D5" s="1">
        <v>7</v>
      </c>
      <c r="E5" s="1">
        <v>46.6</v>
      </c>
      <c r="F5" s="2">
        <v>4.0999999999999996</v>
      </c>
      <c r="G5" s="1">
        <v>5.8</v>
      </c>
    </row>
    <row r="6" spans="1:7" x14ac:dyDescent="0.15">
      <c r="B6">
        <v>3</v>
      </c>
      <c r="C6" s="1">
        <v>2</v>
      </c>
      <c r="D6" s="1"/>
      <c r="F6" s="2">
        <v>14</v>
      </c>
      <c r="G6" s="1">
        <v>23</v>
      </c>
    </row>
    <row r="7" spans="1:7" x14ac:dyDescent="0.15">
      <c r="B7">
        <v>4</v>
      </c>
      <c r="C7" s="2">
        <v>3</v>
      </c>
      <c r="D7" s="1">
        <v>8.6999999999999993</v>
      </c>
      <c r="E7" s="1">
        <v>58.3</v>
      </c>
      <c r="F7" s="2">
        <v>5.0999999999999996</v>
      </c>
      <c r="G7" s="1">
        <v>7.3</v>
      </c>
    </row>
    <row r="8" spans="1:7" x14ac:dyDescent="0.15">
      <c r="B8">
        <v>5</v>
      </c>
      <c r="C8" s="1">
        <v>4</v>
      </c>
      <c r="D8" s="2">
        <v>47</v>
      </c>
      <c r="E8" s="1">
        <v>311</v>
      </c>
      <c r="F8" s="2">
        <v>14</v>
      </c>
      <c r="G8" s="1">
        <v>19</v>
      </c>
    </row>
    <row r="9" spans="1:7" x14ac:dyDescent="0.15">
      <c r="B9">
        <v>6</v>
      </c>
      <c r="C9" s="2">
        <v>5</v>
      </c>
      <c r="D9" s="2">
        <v>7</v>
      </c>
      <c r="E9" s="1">
        <v>46.6</v>
      </c>
      <c r="F9" s="2">
        <v>4.0999999999999996</v>
      </c>
      <c r="G9" s="1">
        <v>5.8</v>
      </c>
    </row>
    <row r="10" spans="1:7" x14ac:dyDescent="0.15">
      <c r="B10">
        <v>7</v>
      </c>
      <c r="C10" s="1">
        <v>6</v>
      </c>
      <c r="D10" s="2">
        <v>4.7</v>
      </c>
      <c r="E10" s="1">
        <v>31.1</v>
      </c>
      <c r="F10" s="2">
        <v>2.7</v>
      </c>
      <c r="G10" s="1">
        <v>3.9</v>
      </c>
    </row>
    <row r="11" spans="1:7" x14ac:dyDescent="0.15">
      <c r="B11">
        <v>8</v>
      </c>
      <c r="C11" s="1">
        <v>7</v>
      </c>
      <c r="D11" s="2">
        <v>9.3000000000000007</v>
      </c>
      <c r="E11" s="1">
        <v>62.2</v>
      </c>
      <c r="F11" s="2">
        <v>5.4</v>
      </c>
      <c r="G11" s="1">
        <v>7.8</v>
      </c>
    </row>
    <row r="12" spans="1:7" x14ac:dyDescent="0.15">
      <c r="B12">
        <v>9</v>
      </c>
      <c r="C12" s="1">
        <v>8</v>
      </c>
      <c r="D12" s="2">
        <v>7.8</v>
      </c>
      <c r="E12" s="1">
        <v>51.8</v>
      </c>
      <c r="F12" s="2">
        <v>4.5</v>
      </c>
      <c r="G12" s="1">
        <v>6.5</v>
      </c>
    </row>
    <row r="13" spans="1:7" x14ac:dyDescent="0.15">
      <c r="B13">
        <v>10</v>
      </c>
      <c r="C13" s="2">
        <v>9</v>
      </c>
      <c r="D13" s="2">
        <v>5.4</v>
      </c>
      <c r="E13" s="1">
        <v>35.9</v>
      </c>
    </row>
    <row r="14" spans="1:7" x14ac:dyDescent="0.15">
      <c r="B14">
        <v>11</v>
      </c>
      <c r="C14" s="1">
        <v>10</v>
      </c>
      <c r="D14" s="2">
        <v>47</v>
      </c>
      <c r="E14" s="1">
        <v>311</v>
      </c>
      <c r="F14" s="2">
        <v>14</v>
      </c>
      <c r="G14" s="1">
        <v>19</v>
      </c>
    </row>
    <row r="15" spans="1:7" x14ac:dyDescent="0.15">
      <c r="B15">
        <v>12</v>
      </c>
      <c r="C15" s="1">
        <v>11</v>
      </c>
      <c r="D15" s="2">
        <v>4.7</v>
      </c>
      <c r="E15" s="1">
        <v>31.1</v>
      </c>
      <c r="F15" s="2">
        <v>2.7</v>
      </c>
      <c r="G15" s="1">
        <v>3.9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3"/>
  <sheetViews>
    <sheetView workbookViewId="0">
      <selection activeCell="M9" sqref="M9"/>
    </sheetView>
  </sheetViews>
  <sheetFormatPr defaultRowHeight="13.5" x14ac:dyDescent="0.15"/>
  <sheetData>
    <row r="1" spans="1:14" x14ac:dyDescent="0.15">
      <c r="A1">
        <v>0</v>
      </c>
      <c r="B1" s="1" t="str">
        <f>[1]Sheet1!$K2</f>
        <v>HP</v>
      </c>
      <c r="C1" t="s">
        <v>20</v>
      </c>
    </row>
    <row r="2" spans="1:14" x14ac:dyDescent="0.15">
      <c r="A2">
        <v>1</v>
      </c>
      <c r="B2" s="1" t="str">
        <f>[1]Sheet1!$K3</f>
        <v>HPRate</v>
      </c>
      <c r="D2" s="1" t="s">
        <v>7</v>
      </c>
      <c r="E2" s="2" t="s">
        <v>23</v>
      </c>
      <c r="F2" s="2" t="s">
        <v>24</v>
      </c>
      <c r="G2" s="1" t="s">
        <v>19</v>
      </c>
      <c r="H2" s="2" t="s">
        <v>40</v>
      </c>
      <c r="I2" s="1" t="s">
        <v>10</v>
      </c>
      <c r="J2" s="1" t="s">
        <v>11</v>
      </c>
      <c r="K2" s="1" t="s">
        <v>12</v>
      </c>
      <c r="L2" s="2" t="s">
        <v>22</v>
      </c>
      <c r="M2" s="4" t="s">
        <v>8</v>
      </c>
      <c r="N2" s="4" t="s">
        <v>9</v>
      </c>
    </row>
    <row r="3" spans="1:14" x14ac:dyDescent="0.15">
      <c r="A3">
        <v>2</v>
      </c>
      <c r="B3" s="1" t="str">
        <f>[1]Sheet1!$K4</f>
        <v>DEF</v>
      </c>
      <c r="D3" s="1">
        <v>0.2</v>
      </c>
      <c r="E3" s="1">
        <v>0.1</v>
      </c>
      <c r="F3" s="1">
        <v>0.1</v>
      </c>
      <c r="G3" s="1">
        <f>0.25/2</f>
        <v>0.125</v>
      </c>
      <c r="H3" s="1">
        <v>0.15</v>
      </c>
      <c r="I3" s="1">
        <v>0.1</v>
      </c>
      <c r="J3" s="1">
        <v>0.2</v>
      </c>
      <c r="K3" s="1">
        <v>0.15</v>
      </c>
      <c r="L3" s="1">
        <v>0.13</v>
      </c>
      <c r="M3" s="4">
        <f>1.1/1.3/2</f>
        <v>0.42307692307692307</v>
      </c>
      <c r="N3" s="4">
        <f>1.1/1.3/2</f>
        <v>0.42307692307692307</v>
      </c>
    </row>
    <row r="4" spans="1:14" x14ac:dyDescent="0.15">
      <c r="A4">
        <v>3</v>
      </c>
      <c r="B4" s="1" t="str">
        <f>[1]Sheet1!$K5</f>
        <v>DEFRate</v>
      </c>
      <c r="D4" s="1">
        <v>20</v>
      </c>
      <c r="E4" s="1">
        <v>0.35</v>
      </c>
      <c r="F4" s="1">
        <v>1.5</v>
      </c>
      <c r="G4" s="1">
        <v>1</v>
      </c>
      <c r="H4" s="1">
        <v>0.45</v>
      </c>
      <c r="I4" s="1">
        <v>0.2</v>
      </c>
      <c r="J4" s="1">
        <v>0.5</v>
      </c>
      <c r="K4" s="1">
        <v>0.55000000000000004</v>
      </c>
      <c r="L4" s="1">
        <v>0.15</v>
      </c>
      <c r="M4" s="4">
        <v>0.5</v>
      </c>
      <c r="N4" s="4">
        <v>0.5</v>
      </c>
    </row>
    <row r="5" spans="1:14" x14ac:dyDescent="0.15">
      <c r="A5">
        <v>4</v>
      </c>
      <c r="B5" s="1" t="str">
        <f>[1]Sheet1!$K6</f>
        <v>ATK</v>
      </c>
    </row>
    <row r="6" spans="1:14" x14ac:dyDescent="0.15">
      <c r="A6">
        <v>5</v>
      </c>
      <c r="B6" s="1" t="str">
        <f>[1]Sheet1!$K7</f>
        <v>ATKRate</v>
      </c>
    </row>
    <row r="7" spans="1:14" x14ac:dyDescent="0.15">
      <c r="A7">
        <v>6</v>
      </c>
      <c r="B7" s="1" t="str">
        <f>[1]Sheet1!$K8</f>
        <v>Crit</v>
      </c>
    </row>
    <row r="8" spans="1:14" x14ac:dyDescent="0.15">
      <c r="A8">
        <v>7</v>
      </c>
      <c r="B8" s="1" t="str">
        <f>[1]Sheet1!$K9</f>
        <v>CritDMG</v>
      </c>
    </row>
    <row r="9" spans="1:14" x14ac:dyDescent="0.15">
      <c r="A9">
        <v>8</v>
      </c>
      <c r="B9" s="1" t="str">
        <f>[1]Sheet1!$K10</f>
        <v>Energy_RE</v>
      </c>
    </row>
    <row r="10" spans="1:14" x14ac:dyDescent="0.15">
      <c r="A10">
        <v>9</v>
      </c>
      <c r="B10" s="1" t="str">
        <f>[1]Sheet1!$K11</f>
        <v>Recover</v>
      </c>
    </row>
    <row r="11" spans="1:14" x14ac:dyDescent="0.15">
      <c r="A11">
        <v>10</v>
      </c>
      <c r="B11" s="1" t="str">
        <f>[1]Sheet1!$K12</f>
        <v>Hit</v>
      </c>
    </row>
    <row r="12" spans="1:14" x14ac:dyDescent="0.15">
      <c r="A12">
        <v>11</v>
      </c>
      <c r="B12" s="1" t="str">
        <f>[1]Sheet1!$K13</f>
        <v>Miss</v>
      </c>
    </row>
    <row r="13" spans="1:14" x14ac:dyDescent="0.15">
      <c r="B1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3"/>
  <sheetViews>
    <sheetView workbookViewId="0">
      <selection activeCell="D26" sqref="D26"/>
    </sheetView>
  </sheetViews>
  <sheetFormatPr defaultRowHeight="13.5" x14ac:dyDescent="0.15"/>
  <cols>
    <col min="1" max="10" width="9" style="1"/>
    <col min="11" max="11" width="12.5" style="1" customWidth="1"/>
    <col min="12" max="12" width="9" style="1"/>
    <col min="13" max="14" width="9" style="4"/>
  </cols>
  <sheetData>
    <row r="1" spans="1:14" x14ac:dyDescent="0.15">
      <c r="A1" s="1" t="s">
        <v>49</v>
      </c>
    </row>
    <row r="2" spans="1:14" x14ac:dyDescent="0.15">
      <c r="A2" s="1" t="s">
        <v>0</v>
      </c>
      <c r="B2" s="1" t="s">
        <v>50</v>
      </c>
      <c r="C2" s="1" t="s">
        <v>51</v>
      </c>
      <c r="D2" s="1" t="s">
        <v>7</v>
      </c>
      <c r="E2" s="2" t="s">
        <v>23</v>
      </c>
      <c r="F2" s="2" t="s">
        <v>24</v>
      </c>
      <c r="G2" s="1" t="s">
        <v>19</v>
      </c>
      <c r="H2" s="2" t="s">
        <v>40</v>
      </c>
      <c r="I2" s="1" t="s">
        <v>10</v>
      </c>
      <c r="J2" s="1" t="s">
        <v>11</v>
      </c>
      <c r="K2" s="1" t="s">
        <v>12</v>
      </c>
      <c r="L2" s="2" t="s">
        <v>22</v>
      </c>
      <c r="M2" s="4" t="s">
        <v>8</v>
      </c>
      <c r="N2" s="4" t="s">
        <v>9</v>
      </c>
    </row>
    <row r="3" spans="1:14" x14ac:dyDescent="0.15">
      <c r="A3" s="1" t="s">
        <v>53</v>
      </c>
      <c r="B3" s="1" t="s">
        <v>45</v>
      </c>
      <c r="C3" s="1" t="s">
        <v>45</v>
      </c>
      <c r="D3" s="1" t="s">
        <v>52</v>
      </c>
      <c r="E3" s="1" t="s">
        <v>52</v>
      </c>
      <c r="F3" s="1" t="s">
        <v>52</v>
      </c>
      <c r="G3" s="1" t="s">
        <v>52</v>
      </c>
      <c r="H3" s="1" t="s">
        <v>52</v>
      </c>
      <c r="I3" s="1" t="s">
        <v>52</v>
      </c>
      <c r="J3" s="1" t="s">
        <v>52</v>
      </c>
      <c r="K3" s="1" t="s">
        <v>52</v>
      </c>
      <c r="L3" s="1" t="s">
        <v>52</v>
      </c>
      <c r="M3" s="4" t="s">
        <v>52</v>
      </c>
      <c r="N3" s="4" t="s">
        <v>52</v>
      </c>
    </row>
    <row r="4" spans="1:14" x14ac:dyDescent="0.15">
      <c r="B4" s="1">
        <v>1</v>
      </c>
      <c r="C4" s="1">
        <v>1</v>
      </c>
      <c r="D4" s="1">
        <v>20</v>
      </c>
      <c r="E4" s="1">
        <v>7</v>
      </c>
      <c r="F4" s="1">
        <v>8.6999999999999993</v>
      </c>
      <c r="G4" s="2">
        <v>47</v>
      </c>
      <c r="H4" s="2">
        <v>7</v>
      </c>
      <c r="I4" s="2">
        <v>4.7</v>
      </c>
      <c r="J4" s="2">
        <v>9.3000000000000007</v>
      </c>
      <c r="K4" s="2">
        <v>7.8</v>
      </c>
      <c r="L4" s="2">
        <v>5.4</v>
      </c>
      <c r="M4" s="5">
        <v>47</v>
      </c>
      <c r="N4" s="5">
        <v>47</v>
      </c>
    </row>
    <row r="5" spans="1:14" x14ac:dyDescent="0.15">
      <c r="B5" s="1">
        <v>2</v>
      </c>
      <c r="C5" s="1">
        <v>2</v>
      </c>
      <c r="D5" s="1">
        <f>D4+Sheet3!D$4+Sheet3!D$3*$C5</f>
        <v>40.4</v>
      </c>
      <c r="E5" s="1">
        <f>E4+Sheet3!E$4+Sheet3!E$3*$C5</f>
        <v>7.55</v>
      </c>
      <c r="F5" s="1">
        <f>F4+Sheet3!F$4+Sheet3!F$3*$C5</f>
        <v>10.399999999999999</v>
      </c>
      <c r="G5" s="1">
        <f>G4+Sheet3!G$4+Sheet3!G$3*$C5</f>
        <v>48.25</v>
      </c>
      <c r="H5" s="1">
        <f>H4+Sheet3!H$4+Sheet3!H$3*$C5</f>
        <v>7.75</v>
      </c>
      <c r="I5" s="1">
        <f>I4+Sheet3!I$4+Sheet3!I$3*$C5</f>
        <v>5.1000000000000005</v>
      </c>
      <c r="J5" s="1">
        <f>J4+Sheet3!J$4+Sheet3!J$3*$C5</f>
        <v>10.200000000000001</v>
      </c>
      <c r="K5" s="1">
        <f>K4+Sheet3!K$4+Sheet3!K$3*$C5</f>
        <v>8.65</v>
      </c>
      <c r="L5" s="1">
        <f>L4+Sheet3!L$4+Sheet3!L$3*$C5</f>
        <v>5.8100000000000005</v>
      </c>
      <c r="M5" s="4">
        <f>M4+Sheet3!M$4+Sheet3!M$3*$C5</f>
        <v>48.346153846153847</v>
      </c>
      <c r="N5" s="4">
        <f>N4+Sheet3!N$4+Sheet3!N$3*$C5</f>
        <v>48.346153846153847</v>
      </c>
    </row>
    <row r="6" spans="1:14" x14ac:dyDescent="0.15">
      <c r="B6" s="1">
        <v>3</v>
      </c>
      <c r="C6" s="1">
        <v>3</v>
      </c>
      <c r="D6" s="1">
        <f>D5+Sheet3!D$4+Sheet3!D$3*$C6</f>
        <v>61</v>
      </c>
      <c r="E6" s="1">
        <f>E5+Sheet3!E$4+Sheet3!E$3*$C6</f>
        <v>8.1999999999999993</v>
      </c>
      <c r="F6" s="1">
        <f>F5+Sheet3!F$4+Sheet3!F$3*$C6</f>
        <v>12.2</v>
      </c>
      <c r="G6" s="1">
        <f>G5+Sheet3!G$4+Sheet3!G$3*$C6</f>
        <v>49.625</v>
      </c>
      <c r="H6" s="1">
        <f>H5+Sheet3!H$4+Sheet3!H$3*$C6</f>
        <v>8.6499999999999986</v>
      </c>
      <c r="I6" s="1">
        <f>I5+Sheet3!I$4+Sheet3!I$3*$C6</f>
        <v>5.6000000000000005</v>
      </c>
      <c r="J6" s="1">
        <f>J5+Sheet3!J$4+Sheet3!J$3*$C6</f>
        <v>11.3</v>
      </c>
      <c r="K6" s="1">
        <f>K5+Sheet3!K$4+Sheet3!K$3*$C6</f>
        <v>9.65</v>
      </c>
      <c r="L6" s="1">
        <f>L5+Sheet3!L$4+Sheet3!L$3*$C6</f>
        <v>6.3500000000000005</v>
      </c>
      <c r="M6" s="4">
        <f>M5+Sheet3!M$4+Sheet3!M$3*$C6</f>
        <v>50.115384615384613</v>
      </c>
      <c r="N6" s="4">
        <f>N5+Sheet3!N$4+Sheet3!N$3*$C6</f>
        <v>50.115384615384613</v>
      </c>
    </row>
    <row r="7" spans="1:14" x14ac:dyDescent="0.15">
      <c r="B7" s="1">
        <v>4</v>
      </c>
      <c r="C7" s="1">
        <v>4</v>
      </c>
      <c r="D7" s="1">
        <f>D6+Sheet3!D$4+Sheet3!D$3*$C7</f>
        <v>81.8</v>
      </c>
      <c r="E7" s="1">
        <f>E6+Sheet3!E$4+Sheet3!E$3*$C7</f>
        <v>8.9499999999999993</v>
      </c>
      <c r="F7" s="1">
        <f>F6+Sheet3!F$4+Sheet3!F$3*$C7</f>
        <v>14.1</v>
      </c>
      <c r="G7" s="1">
        <f>G6+Sheet3!G$4+Sheet3!G$3*$C7</f>
        <v>51.125</v>
      </c>
      <c r="H7" s="1">
        <f>H6+Sheet3!H$4+Sheet3!H$3*$C7</f>
        <v>9.6999999999999975</v>
      </c>
      <c r="I7" s="1">
        <f>I6+Sheet3!I$4+Sheet3!I$3*$C7</f>
        <v>6.2000000000000011</v>
      </c>
      <c r="J7" s="1">
        <f>J6+Sheet3!J$4+Sheet3!J$3*$C7</f>
        <v>12.600000000000001</v>
      </c>
      <c r="K7" s="1">
        <f>K6+Sheet3!K$4+Sheet3!K$3*$C7</f>
        <v>10.8</v>
      </c>
      <c r="L7" s="1">
        <f>L6+Sheet3!L$4+Sheet3!L$3*$C7</f>
        <v>7.0200000000000014</v>
      </c>
      <c r="M7" s="4">
        <f>M6+Sheet3!M$4+Sheet3!M$3*$C7</f>
        <v>52.307692307692307</v>
      </c>
      <c r="N7" s="4">
        <f>N6+Sheet3!N$4+Sheet3!N$3*$C7</f>
        <v>52.307692307692307</v>
      </c>
    </row>
    <row r="8" spans="1:14" x14ac:dyDescent="0.15">
      <c r="B8" s="1">
        <v>5</v>
      </c>
      <c r="C8" s="1">
        <v>5</v>
      </c>
      <c r="D8" s="1">
        <f>D7+Sheet3!D$4+Sheet3!D$3*$C8</f>
        <v>102.8</v>
      </c>
      <c r="E8" s="1">
        <f>E7+Sheet3!E$4+Sheet3!E$3*$C8</f>
        <v>9.7999999999999989</v>
      </c>
      <c r="F8" s="1">
        <f>F7+Sheet3!F$4+Sheet3!F$3*$C8</f>
        <v>16.100000000000001</v>
      </c>
      <c r="G8" s="1">
        <f>G7+Sheet3!G$4+Sheet3!G$3*$C8</f>
        <v>52.75</v>
      </c>
      <c r="H8" s="1">
        <f>H7+Sheet3!H$4+Sheet3!H$3*$C8</f>
        <v>10.899999999999997</v>
      </c>
      <c r="I8" s="1">
        <f>I7+Sheet3!I$4+Sheet3!I$3*$C8</f>
        <v>6.9000000000000012</v>
      </c>
      <c r="J8" s="1">
        <f>J7+Sheet3!J$4+Sheet3!J$3*$C8</f>
        <v>14.100000000000001</v>
      </c>
      <c r="K8" s="1">
        <f>K7+Sheet3!K$4+Sheet3!K$3*$C8</f>
        <v>12.100000000000001</v>
      </c>
      <c r="L8" s="1">
        <f>L7+Sheet3!L$4+Sheet3!L$3*$C8</f>
        <v>7.8200000000000021</v>
      </c>
      <c r="M8" s="4">
        <f>M7+Sheet3!M$4+Sheet3!M$3*$C8</f>
        <v>54.92307692307692</v>
      </c>
      <c r="N8" s="4">
        <f>N7+Sheet3!N$4+Sheet3!N$3*$C8</f>
        <v>54.92307692307692</v>
      </c>
    </row>
    <row r="9" spans="1:14" x14ac:dyDescent="0.15">
      <c r="B9" s="1">
        <v>6</v>
      </c>
      <c r="C9" s="1">
        <v>6</v>
      </c>
      <c r="D9" s="1">
        <f>D8+Sheet3!D$4+Sheet3!D$3*$C9</f>
        <v>124</v>
      </c>
      <c r="E9" s="1">
        <f>E8+Sheet3!E$4+Sheet3!E$3*$C9</f>
        <v>10.749999999999998</v>
      </c>
      <c r="F9" s="1">
        <f>F8+Sheet3!F$4+Sheet3!F$3*$C9</f>
        <v>18.200000000000003</v>
      </c>
      <c r="G9" s="1">
        <f>G8+Sheet3!G$4+Sheet3!G$3*$C9</f>
        <v>54.5</v>
      </c>
      <c r="H9" s="1">
        <f>H8+Sheet3!H$4+Sheet3!H$3*$C9</f>
        <v>12.249999999999996</v>
      </c>
      <c r="I9" s="1">
        <f>I8+Sheet3!I$4+Sheet3!I$3*$C9</f>
        <v>7.7000000000000011</v>
      </c>
      <c r="J9" s="1">
        <f>J8+Sheet3!J$4+Sheet3!J$3*$C9</f>
        <v>15.8</v>
      </c>
      <c r="K9" s="1">
        <f>K8+Sheet3!K$4+Sheet3!K$3*$C9</f>
        <v>13.550000000000002</v>
      </c>
      <c r="L9" s="1">
        <f>L8+Sheet3!L$4+Sheet3!L$3*$C9</f>
        <v>8.7500000000000018</v>
      </c>
      <c r="M9" s="4">
        <f>M8+Sheet3!M$4+Sheet3!M$3*$C9</f>
        <v>57.96153846153846</v>
      </c>
      <c r="N9" s="4">
        <f>N8+Sheet3!N$4+Sheet3!N$3*$C9</f>
        <v>57.96153846153846</v>
      </c>
    </row>
    <row r="10" spans="1:14" x14ac:dyDescent="0.15">
      <c r="B10" s="1">
        <v>7</v>
      </c>
      <c r="C10" s="1">
        <v>7</v>
      </c>
      <c r="D10" s="1">
        <f>D9+Sheet3!D$4+Sheet3!D$3*$C10</f>
        <v>145.4</v>
      </c>
      <c r="E10" s="1">
        <f>E9+Sheet3!E$4+Sheet3!E$3*$C10</f>
        <v>11.799999999999997</v>
      </c>
      <c r="F10" s="1">
        <f>F9+Sheet3!F$4+Sheet3!F$3*$C10</f>
        <v>20.400000000000002</v>
      </c>
      <c r="G10" s="1">
        <f>G9+Sheet3!G$4+Sheet3!G$3*$C10</f>
        <v>56.375</v>
      </c>
      <c r="H10" s="1">
        <f>H9+Sheet3!H$4+Sheet3!H$3*$C10</f>
        <v>13.749999999999996</v>
      </c>
      <c r="I10" s="1">
        <f>I9+Sheet3!I$4+Sheet3!I$3*$C10</f>
        <v>8.6000000000000014</v>
      </c>
      <c r="J10" s="1">
        <f>J9+Sheet3!J$4+Sheet3!J$3*$C10</f>
        <v>17.7</v>
      </c>
      <c r="K10" s="1">
        <f>K9+Sheet3!K$4+Sheet3!K$3*$C10</f>
        <v>15.150000000000004</v>
      </c>
      <c r="L10" s="1">
        <f>L9+Sheet3!L$4+Sheet3!L$3*$C10</f>
        <v>9.8100000000000023</v>
      </c>
      <c r="M10" s="4">
        <f>M9+Sheet3!M$4+Sheet3!M$3*$C10</f>
        <v>61.42307692307692</v>
      </c>
      <c r="N10" s="4">
        <f>N9+Sheet3!N$4+Sheet3!N$3*$C10</f>
        <v>61.42307692307692</v>
      </c>
    </row>
    <row r="11" spans="1:14" x14ac:dyDescent="0.15">
      <c r="B11" s="1">
        <v>8</v>
      </c>
      <c r="C11" s="1">
        <v>8</v>
      </c>
      <c r="D11" s="1">
        <f>D10+Sheet3!D$4+Sheet3!D$3*$C11</f>
        <v>167</v>
      </c>
      <c r="E11" s="1">
        <f>E10+Sheet3!E$4+Sheet3!E$3*$C11</f>
        <v>12.949999999999998</v>
      </c>
      <c r="F11" s="1">
        <f>F10+Sheet3!F$4+Sheet3!F$3*$C11</f>
        <v>22.700000000000003</v>
      </c>
      <c r="G11" s="1">
        <f>G10+Sheet3!G$4+Sheet3!G$3*$C11</f>
        <v>58.375</v>
      </c>
      <c r="H11" s="1">
        <f>H10+Sheet3!H$4+Sheet3!H$3*$C11</f>
        <v>15.399999999999995</v>
      </c>
      <c r="I11" s="1">
        <f>I10+Sheet3!I$4+Sheet3!I$3*$C11</f>
        <v>9.6000000000000014</v>
      </c>
      <c r="J11" s="1">
        <f>J10+Sheet3!J$4+Sheet3!J$3*$C11</f>
        <v>19.8</v>
      </c>
      <c r="K11" s="1">
        <f>K10+Sheet3!K$4+Sheet3!K$3*$C11</f>
        <v>16.900000000000006</v>
      </c>
      <c r="L11" s="1">
        <f>L10+Sheet3!L$4+Sheet3!L$3*$C11</f>
        <v>11.000000000000004</v>
      </c>
      <c r="M11" s="4">
        <f>M10+Sheet3!M$4+Sheet3!M$3*$C11</f>
        <v>65.307692307692307</v>
      </c>
      <c r="N11" s="4">
        <f>N10+Sheet3!N$4+Sheet3!N$3*$C11</f>
        <v>65.307692307692307</v>
      </c>
    </row>
    <row r="12" spans="1:14" x14ac:dyDescent="0.15">
      <c r="B12" s="1">
        <v>9</v>
      </c>
      <c r="C12" s="1">
        <v>9</v>
      </c>
      <c r="D12" s="1">
        <f>D11+Sheet3!D$4+Sheet3!D$3*$C12</f>
        <v>188.8</v>
      </c>
      <c r="E12" s="1">
        <f>E11+Sheet3!E$4+Sheet3!E$3*$C12</f>
        <v>14.199999999999998</v>
      </c>
      <c r="F12" s="1">
        <f>F11+Sheet3!F$4+Sheet3!F$3*$C12</f>
        <v>25.1</v>
      </c>
      <c r="G12" s="1">
        <f>G11+Sheet3!G$4+Sheet3!G$3*$C12</f>
        <v>60.5</v>
      </c>
      <c r="H12" s="1">
        <f>H11+Sheet3!H$4+Sheet3!H$3*$C12</f>
        <v>17.199999999999996</v>
      </c>
      <c r="I12" s="1">
        <f>I11+Sheet3!I$4+Sheet3!I$3*$C12</f>
        <v>10.700000000000001</v>
      </c>
      <c r="J12" s="1">
        <f>J11+Sheet3!J$4+Sheet3!J$3*$C12</f>
        <v>22.1</v>
      </c>
      <c r="K12" s="1">
        <f>K11+Sheet3!K$4+Sheet3!K$3*$C12</f>
        <v>18.800000000000008</v>
      </c>
      <c r="L12" s="1">
        <f>L11+Sheet3!L$4+Sheet3!L$3*$C12</f>
        <v>12.320000000000004</v>
      </c>
      <c r="M12" s="4">
        <f>M11+Sheet3!M$4+Sheet3!M$3*$C12</f>
        <v>69.615384615384613</v>
      </c>
      <c r="N12" s="4">
        <f>N11+Sheet3!N$4+Sheet3!N$3*$C12</f>
        <v>69.615384615384613</v>
      </c>
    </row>
    <row r="13" spans="1:14" x14ac:dyDescent="0.15">
      <c r="B13" s="1">
        <v>10</v>
      </c>
      <c r="C13" s="1">
        <v>10</v>
      </c>
      <c r="D13" s="1">
        <f>D12+Sheet3!D$4+Sheet3!D$3*$C13</f>
        <v>210.8</v>
      </c>
      <c r="E13" s="1">
        <f>E12+Sheet3!E$4+Sheet3!E$3*$C13</f>
        <v>15.549999999999997</v>
      </c>
      <c r="F13" s="1">
        <f>F12+Sheet3!F$4+Sheet3!F$3*$C13</f>
        <v>27.6</v>
      </c>
      <c r="G13" s="1">
        <f>G12+Sheet3!G$4+Sheet3!G$3*$C13</f>
        <v>62.75</v>
      </c>
      <c r="H13" s="1">
        <f>H12+Sheet3!H$4+Sheet3!H$3*$C13</f>
        <v>19.149999999999995</v>
      </c>
      <c r="I13" s="1">
        <f>I12+Sheet3!I$4+Sheet3!I$3*$C13</f>
        <v>11.9</v>
      </c>
      <c r="J13" s="1">
        <f>J12+Sheet3!J$4+Sheet3!J$3*$C13</f>
        <v>24.6</v>
      </c>
      <c r="K13" s="1">
        <f>K12+Sheet3!K$4+Sheet3!K$3*$C13</f>
        <v>20.850000000000009</v>
      </c>
      <c r="L13" s="1">
        <f>L12+Sheet3!L$4+Sheet3!L$3*$C13</f>
        <v>13.770000000000005</v>
      </c>
      <c r="M13" s="4">
        <f>M12+Sheet3!M$4+Sheet3!M$3*$C13</f>
        <v>74.34615384615384</v>
      </c>
      <c r="N13" s="4">
        <f>N12+Sheet3!N$4+Sheet3!N$3*$C13</f>
        <v>74.34615384615384</v>
      </c>
    </row>
    <row r="14" spans="1:14" x14ac:dyDescent="0.15">
      <c r="B14" s="1">
        <v>11</v>
      </c>
      <c r="C14" s="1">
        <v>11</v>
      </c>
      <c r="D14" s="1">
        <f>D13+Sheet3!D$4+Sheet3!D$3*$C14</f>
        <v>233</v>
      </c>
      <c r="E14" s="1">
        <f>E13+Sheet3!E$4+Sheet3!E$3*$C14</f>
        <v>16.999999999999996</v>
      </c>
      <c r="F14" s="1">
        <f>F13+Sheet3!F$4+Sheet3!F$3*$C14</f>
        <v>30.200000000000003</v>
      </c>
      <c r="G14" s="1">
        <f>G13+Sheet3!G$4+Sheet3!G$3*$C14</f>
        <v>65.125</v>
      </c>
      <c r="H14" s="1">
        <f>H13+Sheet3!H$4+Sheet3!H$3*$C14</f>
        <v>21.249999999999993</v>
      </c>
      <c r="I14" s="1">
        <f>I13+Sheet3!I$4+Sheet3!I$3*$C14</f>
        <v>13.2</v>
      </c>
      <c r="J14" s="1">
        <f>J13+Sheet3!J$4+Sheet3!J$3*$C14</f>
        <v>27.3</v>
      </c>
      <c r="K14" s="1">
        <f>K13+Sheet3!K$4+Sheet3!K$3*$C14</f>
        <v>23.050000000000008</v>
      </c>
      <c r="L14" s="1">
        <f>L13+Sheet3!L$4+Sheet3!L$3*$C14</f>
        <v>15.350000000000005</v>
      </c>
      <c r="M14" s="4">
        <f>M13+Sheet3!M$4+Sheet3!M$3*$C14</f>
        <v>79.5</v>
      </c>
      <c r="N14" s="4">
        <f>N13+Sheet3!N$4+Sheet3!N$3*$C14</f>
        <v>79.5</v>
      </c>
    </row>
    <row r="15" spans="1:14" x14ac:dyDescent="0.15">
      <c r="B15" s="1">
        <v>12</v>
      </c>
      <c r="C15" s="1">
        <v>12</v>
      </c>
      <c r="D15" s="1">
        <f>D14+Sheet3!D$4+Sheet3!D$3*$C15</f>
        <v>255.4</v>
      </c>
      <c r="E15" s="1">
        <f>E14+Sheet3!E$4+Sheet3!E$3*$C15</f>
        <v>18.549999999999997</v>
      </c>
      <c r="F15" s="1">
        <f>F14+Sheet3!F$4+Sheet3!F$3*$C15</f>
        <v>32.900000000000006</v>
      </c>
      <c r="G15" s="1">
        <f>G14+Sheet3!G$4+Sheet3!G$3*$C15</f>
        <v>67.625</v>
      </c>
      <c r="H15" s="1">
        <f>H14+Sheet3!H$4+Sheet3!H$3*$C15</f>
        <v>23.499999999999993</v>
      </c>
      <c r="I15" s="1">
        <f>I14+Sheet3!I$4+Sheet3!I$3*$C15</f>
        <v>14.599999999999998</v>
      </c>
      <c r="J15" s="1">
        <f>J14+Sheet3!J$4+Sheet3!J$3*$C15</f>
        <v>30.200000000000003</v>
      </c>
      <c r="K15" s="1">
        <f>K14+Sheet3!K$4+Sheet3!K$3*$C15</f>
        <v>25.400000000000009</v>
      </c>
      <c r="L15" s="1">
        <f>L14+Sheet3!L$4+Sheet3!L$3*$C15</f>
        <v>17.060000000000006</v>
      </c>
      <c r="M15" s="4">
        <f>M14+Sheet3!M$4+Sheet3!M$3*$C15</f>
        <v>85.07692307692308</v>
      </c>
      <c r="N15" s="4">
        <f>N14+Sheet3!N$4+Sheet3!N$3*$C15</f>
        <v>85.07692307692308</v>
      </c>
    </row>
    <row r="16" spans="1:14" x14ac:dyDescent="0.15">
      <c r="B16" s="1">
        <v>13</v>
      </c>
      <c r="C16" s="1">
        <v>13</v>
      </c>
      <c r="D16" s="1">
        <f>D15+Sheet3!D$4+Sheet3!D$3*$C16</f>
        <v>278</v>
      </c>
      <c r="E16" s="1">
        <f>E15+Sheet3!E$4+Sheet3!E$3*$C16</f>
        <v>20.2</v>
      </c>
      <c r="F16" s="1">
        <f>F15+Sheet3!F$4+Sheet3!F$3*$C16</f>
        <v>35.700000000000003</v>
      </c>
      <c r="G16" s="1">
        <f>G15+Sheet3!G$4+Sheet3!G$3*$C16</f>
        <v>70.25</v>
      </c>
      <c r="H16" s="1">
        <f>H15+Sheet3!H$4+Sheet3!H$3*$C16</f>
        <v>25.899999999999991</v>
      </c>
      <c r="I16" s="1">
        <f>I15+Sheet3!I$4+Sheet3!I$3*$C16</f>
        <v>16.099999999999998</v>
      </c>
      <c r="J16" s="1">
        <f>J15+Sheet3!J$4+Sheet3!J$3*$C16</f>
        <v>33.300000000000004</v>
      </c>
      <c r="K16" s="1">
        <f>K15+Sheet3!K$4+Sheet3!K$3*$C16</f>
        <v>27.900000000000009</v>
      </c>
      <c r="L16" s="1">
        <f>L15+Sheet3!L$4+Sheet3!L$3*$C16</f>
        <v>18.900000000000006</v>
      </c>
      <c r="M16" s="4">
        <f>M15+Sheet3!M$4+Sheet3!M$3*$C16</f>
        <v>91.07692307692308</v>
      </c>
      <c r="N16" s="4">
        <f>N15+Sheet3!N$4+Sheet3!N$3*$C16</f>
        <v>91.07692307692308</v>
      </c>
    </row>
    <row r="17" spans="2:14" x14ac:dyDescent="0.15">
      <c r="B17" s="1">
        <v>14</v>
      </c>
      <c r="C17" s="1">
        <v>14</v>
      </c>
      <c r="D17" s="1">
        <f>D16+Sheet3!D$4+Sheet3!D$3*$C17</f>
        <v>300.8</v>
      </c>
      <c r="E17" s="1">
        <f>E16+Sheet3!E$4+Sheet3!E$3*$C17</f>
        <v>21.95</v>
      </c>
      <c r="F17" s="1">
        <f>F16+Sheet3!F$4+Sheet3!F$3*$C17</f>
        <v>38.6</v>
      </c>
      <c r="G17" s="1">
        <f>G16+Sheet3!G$4+Sheet3!G$3*$C17</f>
        <v>73</v>
      </c>
      <c r="H17" s="1">
        <f>H16+Sheet3!H$4+Sheet3!H$3*$C17</f>
        <v>28.449999999999992</v>
      </c>
      <c r="I17" s="1">
        <f>I16+Sheet3!I$4+Sheet3!I$3*$C17</f>
        <v>17.699999999999996</v>
      </c>
      <c r="J17" s="1">
        <f>J16+Sheet3!J$4+Sheet3!J$3*$C17</f>
        <v>36.6</v>
      </c>
      <c r="K17" s="1">
        <f>K16+Sheet3!K$4+Sheet3!K$3*$C17</f>
        <v>30.550000000000011</v>
      </c>
      <c r="L17" s="1">
        <f>L16+Sheet3!L$4+Sheet3!L$3*$C17</f>
        <v>20.870000000000005</v>
      </c>
      <c r="M17" s="4">
        <f>M16+Sheet3!M$4+Sheet3!M$3*$C17</f>
        <v>97.5</v>
      </c>
      <c r="N17" s="4">
        <f>N16+Sheet3!N$4+Sheet3!N$3*$C17</f>
        <v>97.5</v>
      </c>
    </row>
    <row r="18" spans="2:14" x14ac:dyDescent="0.15">
      <c r="B18" s="1">
        <v>15</v>
      </c>
      <c r="C18" s="1">
        <v>15</v>
      </c>
      <c r="D18" s="1">
        <f>D17+Sheet3!D$4+Sheet3!D$3*$C18</f>
        <v>323.8</v>
      </c>
      <c r="E18" s="1">
        <f>E17+Sheet3!E$4+Sheet3!E$3*$C18</f>
        <v>23.8</v>
      </c>
      <c r="F18" s="1">
        <f>F17+Sheet3!F$4+Sheet3!F$3*$C18</f>
        <v>41.6</v>
      </c>
      <c r="G18" s="1">
        <f>G17+Sheet3!G$4+Sheet3!G$3*$C18</f>
        <v>75.875</v>
      </c>
      <c r="H18" s="1">
        <f>H17+Sheet3!H$4+Sheet3!H$3*$C18</f>
        <v>31.149999999999991</v>
      </c>
      <c r="I18" s="1">
        <f>I17+Sheet3!I$4+Sheet3!I$3*$C18</f>
        <v>19.399999999999995</v>
      </c>
      <c r="J18" s="1">
        <f>J17+Sheet3!J$4+Sheet3!J$3*$C18</f>
        <v>40.1</v>
      </c>
      <c r="K18" s="1">
        <f>K17+Sheet3!K$4+Sheet3!K$3*$C18</f>
        <v>33.350000000000009</v>
      </c>
      <c r="L18" s="1">
        <f>L17+Sheet3!L$4+Sheet3!L$3*$C18</f>
        <v>22.970000000000002</v>
      </c>
      <c r="M18" s="4">
        <f>M17+Sheet3!M$4+Sheet3!M$3*$C18</f>
        <v>104.34615384615384</v>
      </c>
      <c r="N18" s="4">
        <f>N17+Sheet3!N$4+Sheet3!N$3*$C18</f>
        <v>104.34615384615384</v>
      </c>
    </row>
    <row r="19" spans="2:14" x14ac:dyDescent="0.15">
      <c r="B19" s="1">
        <v>16</v>
      </c>
      <c r="C19" s="1">
        <v>16</v>
      </c>
      <c r="D19" s="1">
        <f>D18+Sheet3!D$4+Sheet3!D$3*$C19</f>
        <v>347</v>
      </c>
      <c r="E19" s="1">
        <f>E18+Sheet3!E$4+Sheet3!E$3*$C19</f>
        <v>25.750000000000004</v>
      </c>
      <c r="F19" s="1">
        <f>F18+Sheet3!F$4+Sheet3!F$3*$C19</f>
        <v>44.7</v>
      </c>
      <c r="G19" s="1">
        <f>G18+Sheet3!G$4+Sheet3!G$3*$C19</f>
        <v>78.875</v>
      </c>
      <c r="H19" s="1">
        <f>H18+Sheet3!H$4+Sheet3!H$3*$C19</f>
        <v>33.999999999999993</v>
      </c>
      <c r="I19" s="1">
        <f>I18+Sheet3!I$4+Sheet3!I$3*$C19</f>
        <v>21.199999999999996</v>
      </c>
      <c r="J19" s="1">
        <f>J18+Sheet3!J$4+Sheet3!J$3*$C19</f>
        <v>43.800000000000004</v>
      </c>
      <c r="K19" s="1">
        <f>K18+Sheet3!K$4+Sheet3!K$3*$C19</f>
        <v>36.300000000000004</v>
      </c>
      <c r="L19" s="1">
        <f>L18+Sheet3!L$4+Sheet3!L$3*$C19</f>
        <v>25.200000000000003</v>
      </c>
      <c r="M19" s="4">
        <f>M18+Sheet3!M$4+Sheet3!M$3*$C19</f>
        <v>111.61538461538461</v>
      </c>
      <c r="N19" s="4">
        <f>N18+Sheet3!N$4+Sheet3!N$3*$C19</f>
        <v>111.61538461538461</v>
      </c>
    </row>
    <row r="20" spans="2:14" x14ac:dyDescent="0.15">
      <c r="B20" s="1">
        <v>17</v>
      </c>
      <c r="C20" s="1">
        <v>17</v>
      </c>
      <c r="D20" s="1">
        <f>D19+Sheet3!D$4+Sheet3!D$3*$C20</f>
        <v>370.4</v>
      </c>
      <c r="E20" s="1">
        <f>E19+Sheet3!E$4+Sheet3!E$3*$C20</f>
        <v>27.800000000000004</v>
      </c>
      <c r="F20" s="1">
        <f>F19+Sheet3!F$4+Sheet3!F$3*$C20</f>
        <v>47.900000000000006</v>
      </c>
      <c r="G20" s="1">
        <f>G19+Sheet3!G$4+Sheet3!G$3*$C20</f>
        <v>82</v>
      </c>
      <c r="H20" s="1">
        <f>H19+Sheet3!H$4+Sheet3!H$3*$C20</f>
        <v>36.999999999999993</v>
      </c>
      <c r="I20" s="1">
        <f>I19+Sheet3!I$4+Sheet3!I$3*$C20</f>
        <v>23.099999999999994</v>
      </c>
      <c r="J20" s="1">
        <f>J19+Sheet3!J$4+Sheet3!J$3*$C20</f>
        <v>47.7</v>
      </c>
      <c r="K20" s="1">
        <f>K19+Sheet3!K$4+Sheet3!K$3*$C20</f>
        <v>39.4</v>
      </c>
      <c r="L20" s="1">
        <f>L19+Sheet3!L$4+Sheet3!L$3*$C20</f>
        <v>27.560000000000002</v>
      </c>
      <c r="M20" s="4">
        <f>M19+Sheet3!M$4+Sheet3!M$3*$C20</f>
        <v>119.30769230769231</v>
      </c>
      <c r="N20" s="4">
        <f>N19+Sheet3!N$4+Sheet3!N$3*$C20</f>
        <v>119.30769230769231</v>
      </c>
    </row>
    <row r="21" spans="2:14" x14ac:dyDescent="0.15">
      <c r="B21" s="1">
        <v>18</v>
      </c>
      <c r="C21" s="1">
        <v>18</v>
      </c>
      <c r="D21" s="1">
        <f>D20+Sheet3!D$4+Sheet3!D$3*$C21</f>
        <v>394</v>
      </c>
      <c r="E21" s="1">
        <f>E20+Sheet3!E$4+Sheet3!E$3*$C21</f>
        <v>29.950000000000006</v>
      </c>
      <c r="F21" s="1">
        <f>F20+Sheet3!F$4+Sheet3!F$3*$C21</f>
        <v>51.2</v>
      </c>
      <c r="G21" s="1">
        <f>G20+Sheet3!G$4+Sheet3!G$3*$C21</f>
        <v>85.25</v>
      </c>
      <c r="H21" s="1">
        <f>H20+Sheet3!H$4+Sheet3!H$3*$C21</f>
        <v>40.15</v>
      </c>
      <c r="I21" s="1">
        <f>I20+Sheet3!I$4+Sheet3!I$3*$C21</f>
        <v>25.099999999999994</v>
      </c>
      <c r="J21" s="1">
        <f>J20+Sheet3!J$4+Sheet3!J$3*$C21</f>
        <v>51.800000000000004</v>
      </c>
      <c r="K21" s="1">
        <f>K20+Sheet3!K$4+Sheet3!K$3*$C21</f>
        <v>42.65</v>
      </c>
      <c r="L21" s="1">
        <f>L20+Sheet3!L$4+Sheet3!L$3*$C21</f>
        <v>30.05</v>
      </c>
      <c r="M21" s="4">
        <f>M20+Sheet3!M$4+Sheet3!M$3*$C21</f>
        <v>127.42307692307692</v>
      </c>
      <c r="N21" s="4">
        <f>N20+Sheet3!N$4+Sheet3!N$3*$C21</f>
        <v>127.42307692307692</v>
      </c>
    </row>
    <row r="22" spans="2:14" x14ac:dyDescent="0.15">
      <c r="B22" s="1">
        <v>19</v>
      </c>
      <c r="C22" s="1">
        <v>19</v>
      </c>
      <c r="D22" s="1">
        <f>D21+Sheet3!D$4+Sheet3!D$3*$C22</f>
        <v>417.8</v>
      </c>
      <c r="E22" s="1">
        <f>E21+Sheet3!E$4+Sheet3!E$3*$C22</f>
        <v>32.20000000000001</v>
      </c>
      <c r="F22" s="1">
        <f>F21+Sheet3!F$4+Sheet3!F$3*$C22</f>
        <v>54.6</v>
      </c>
      <c r="G22" s="1">
        <f>G21+Sheet3!G$4+Sheet3!G$3*$C22</f>
        <v>88.625</v>
      </c>
      <c r="H22" s="1">
        <f>H21+Sheet3!H$4+Sheet3!H$3*$C22</f>
        <v>43.45</v>
      </c>
      <c r="I22" s="1">
        <f>I21+Sheet3!I$4+Sheet3!I$3*$C22</f>
        <v>27.199999999999992</v>
      </c>
      <c r="J22" s="1">
        <f>J21+Sheet3!J$4+Sheet3!J$3*$C22</f>
        <v>56.1</v>
      </c>
      <c r="K22" s="1">
        <f>K21+Sheet3!K$4+Sheet3!K$3*$C22</f>
        <v>46.05</v>
      </c>
      <c r="L22" s="1">
        <f>L21+Sheet3!L$4+Sheet3!L$3*$C22</f>
        <v>32.67</v>
      </c>
      <c r="M22" s="4">
        <f>M21+Sheet3!M$4+Sheet3!M$3*$C22</f>
        <v>135.96153846153845</v>
      </c>
      <c r="N22" s="4">
        <f>N21+Sheet3!N$4+Sheet3!N$3*$C22</f>
        <v>135.96153846153845</v>
      </c>
    </row>
    <row r="23" spans="2:14" x14ac:dyDescent="0.15">
      <c r="B23" s="1">
        <v>20</v>
      </c>
      <c r="C23" s="1">
        <v>20</v>
      </c>
      <c r="D23" s="1">
        <f>D22+Sheet3!D$4+Sheet3!D$3*$C23</f>
        <v>441.8</v>
      </c>
      <c r="E23" s="1">
        <f>E22+Sheet3!E$4+Sheet3!E$3*$C23</f>
        <v>34.550000000000011</v>
      </c>
      <c r="F23" s="1">
        <f>F22+Sheet3!F$4+Sheet3!F$3*$C23</f>
        <v>58.1</v>
      </c>
      <c r="G23" s="1">
        <f>G22+Sheet3!G$4+Sheet3!G$3*$C23</f>
        <v>92.125</v>
      </c>
      <c r="H23" s="1">
        <f>H22+Sheet3!H$4+Sheet3!H$3*$C23</f>
        <v>46.900000000000006</v>
      </c>
      <c r="I23" s="1">
        <f>I22+Sheet3!I$4+Sheet3!I$3*$C23</f>
        <v>29.399999999999991</v>
      </c>
      <c r="J23" s="1">
        <f>J22+Sheet3!J$4+Sheet3!J$3*$C23</f>
        <v>60.6</v>
      </c>
      <c r="K23" s="1">
        <f>K22+Sheet3!K$4+Sheet3!K$3*$C23</f>
        <v>49.599999999999994</v>
      </c>
      <c r="L23" s="1">
        <f>L22+Sheet3!L$4+Sheet3!L$3*$C23</f>
        <v>35.42</v>
      </c>
      <c r="M23" s="4">
        <f>M22+Sheet3!M$4+Sheet3!M$3*$C23</f>
        <v>144.92307692307691</v>
      </c>
      <c r="N23" s="4">
        <f>N22+Sheet3!N$4+Sheet3!N$3*$C23</f>
        <v>144.92307692307691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Sheet</vt:lpstr>
      <vt:lpstr>AffixData</vt:lpstr>
      <vt:lpstr>Sheet3</vt:lpstr>
      <vt:lpstr>EquipLevelData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2026-09-07T16:17:40Z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