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 filterPrivacy="1" defaultThemeVersion="124226"/>
  <bookViews>
    <workbookView xWindow="-120" yWindow="-120" windowWidth="29040" windowHeight="15840" activeTab="4"/>
  </bookViews>
  <sheets>
    <sheet name="SkillAcquire" sheetId="1" r:id="rId1"/>
    <sheet name="Sheet1" sheetId="5" r:id="rId2"/>
    <sheet name="Matrix" sheetId="4" r:id="rId3"/>
    <sheet name="Skill" sheetId="2" r:id="rId4"/>
    <sheet name="Buff" sheetId="3" r:id="rId5"/>
  </sheets>
  <definedNames>
    <definedName name="_xlnm._FilterDatabase" localSheetId="3"><![CDATA[Skill!$A$3:$H$85]]></definedName>
  </definedNames>
  <calcPr calcId="152511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04" i="2" l="1"/>
  <c r="AG103" i="2"/>
  <c r="AG102" i="2"/>
  <c r="AG91" i="2" l="1"/>
  <c r="AG89" i="2"/>
  <c r="AG95" i="2"/>
  <c r="AG87" i="2"/>
  <c r="AG88" i="2"/>
  <c r="AG90" i="2"/>
  <c r="AG92" i="2"/>
  <c r="J85" i="1" l="1"/>
  <c r="F85" i="2" s="1"/>
  <c r="J80" i="1"/>
  <c r="F80" i="2" s="1"/>
  <c r="J81" i="1"/>
  <c r="F81" i="2" s="1"/>
  <c r="J82" i="1"/>
  <c r="F82" i="2" s="1"/>
  <c r="J83" i="1"/>
  <c r="F83" i="2" s="1"/>
  <c r="J84" i="1"/>
  <c r="F84" i="2" s="1"/>
  <c r="J79" i="1"/>
  <c r="F79" i="2" s="1"/>
  <c r="J78" i="1"/>
  <c r="F78" i="2" s="1"/>
  <c r="J77" i="1"/>
  <c r="F77" i="2" s="1"/>
  <c r="B5" i="4" l="1"/>
  <c r="B8" i="4" l="1"/>
  <c r="B7" i="4"/>
  <c r="B6" i="4"/>
  <c r="B4" i="4"/>
  <c r="J5" i="1"/>
  <c r="F5" i="2" s="1"/>
  <c r="J6" i="1"/>
  <c r="F6" i="2" s="1"/>
  <c r="J7" i="1"/>
  <c r="F7" i="2" s="1"/>
  <c r="J8" i="1"/>
  <c r="F8" i="2" s="1"/>
  <c r="J9" i="1"/>
  <c r="F9" i="2" s="1"/>
  <c r="J10" i="1"/>
  <c r="F10" i="2" s="1"/>
  <c r="J11" i="1"/>
  <c r="F11" i="2" s="1"/>
  <c r="J12" i="1"/>
  <c r="F12" i="2" s="1"/>
  <c r="J13" i="1"/>
  <c r="F13" i="2" s="1"/>
  <c r="J14" i="1"/>
  <c r="F14" i="2" s="1"/>
  <c r="J15" i="1"/>
  <c r="F15" i="2" s="1"/>
  <c r="J16" i="1"/>
  <c r="F16" i="2" s="1"/>
  <c r="J17" i="1"/>
  <c r="F17" i="2" s="1"/>
  <c r="J18" i="1"/>
  <c r="F18" i="2" s="1"/>
  <c r="J19" i="1"/>
  <c r="F19" i="2" s="1"/>
  <c r="J20" i="1"/>
  <c r="F20" i="2" s="1"/>
  <c r="J21" i="1"/>
  <c r="F21" i="2" s="1"/>
  <c r="J22" i="1"/>
  <c r="F22" i="2" s="1"/>
  <c r="J23" i="1"/>
  <c r="F23" i="2" s="1"/>
  <c r="J24" i="1"/>
  <c r="F24" i="2" s="1"/>
  <c r="J25" i="1"/>
  <c r="F25" i="2" s="1"/>
  <c r="J26" i="1"/>
  <c r="F26" i="2" s="1"/>
  <c r="J27" i="1"/>
  <c r="F27" i="2" s="1"/>
  <c r="J28" i="1"/>
  <c r="F28" i="2" s="1"/>
  <c r="J29" i="1"/>
  <c r="F29" i="2" s="1"/>
  <c r="J30" i="1"/>
  <c r="F30" i="2" s="1"/>
  <c r="J31" i="1"/>
  <c r="F31" i="2" s="1"/>
  <c r="J32" i="1"/>
  <c r="F32" i="2" s="1"/>
  <c r="J33" i="1"/>
  <c r="F33" i="2" s="1"/>
  <c r="J34" i="1"/>
  <c r="F34" i="2" s="1"/>
  <c r="J35" i="1"/>
  <c r="F35" i="2" s="1"/>
  <c r="J36" i="1"/>
  <c r="F36" i="2" s="1"/>
  <c r="J37" i="1"/>
  <c r="F37" i="2" s="1"/>
  <c r="J38" i="1"/>
  <c r="F38" i="2" s="1"/>
  <c r="J39" i="1"/>
  <c r="F39" i="2" s="1"/>
  <c r="J40" i="1"/>
  <c r="F40" i="2" s="1"/>
  <c r="J41" i="1"/>
  <c r="F41" i="2" s="1"/>
  <c r="J42" i="1"/>
  <c r="F42" i="2" s="1"/>
  <c r="J43" i="1"/>
  <c r="F43" i="2" s="1"/>
  <c r="J44" i="1"/>
  <c r="F44" i="2" s="1"/>
  <c r="J45" i="1"/>
  <c r="F45" i="2" s="1"/>
  <c r="J46" i="1"/>
  <c r="F46" i="2" s="1"/>
  <c r="J47" i="1"/>
  <c r="F47" i="2" s="1"/>
  <c r="J48" i="1"/>
  <c r="F48" i="2" s="1"/>
  <c r="J49" i="1"/>
  <c r="F49" i="2" s="1"/>
  <c r="J50" i="1"/>
  <c r="F50" i="2" s="1"/>
  <c r="J51" i="1"/>
  <c r="F51" i="2" s="1"/>
  <c r="J52" i="1"/>
  <c r="F52" i="2" s="1"/>
  <c r="J53" i="1"/>
  <c r="F53" i="2" s="1"/>
  <c r="J54" i="1"/>
  <c r="F54" i="2" s="1"/>
  <c r="J55" i="1"/>
  <c r="F55" i="2" s="1"/>
  <c r="J56" i="1"/>
  <c r="F56" i="2" s="1"/>
  <c r="J57" i="1"/>
  <c r="F57" i="2" s="1"/>
  <c r="J58" i="1"/>
  <c r="F58" i="2" s="1"/>
  <c r="J59" i="1"/>
  <c r="F59" i="2" s="1"/>
  <c r="J60" i="1"/>
  <c r="F60" i="2" s="1"/>
  <c r="J61" i="1"/>
  <c r="F61" i="2" s="1"/>
  <c r="J62" i="1"/>
  <c r="F62" i="2" s="1"/>
  <c r="J63" i="1"/>
  <c r="F63" i="2" s="1"/>
  <c r="J64" i="1"/>
  <c r="F64" i="2" s="1"/>
  <c r="J65" i="1"/>
  <c r="F65" i="2" s="1"/>
  <c r="J66" i="1"/>
  <c r="F66" i="2" s="1"/>
  <c r="J67" i="1"/>
  <c r="F67" i="2" s="1"/>
  <c r="J68" i="1"/>
  <c r="F68" i="2" s="1"/>
  <c r="J69" i="1"/>
  <c r="F69" i="2" s="1"/>
  <c r="J70" i="1"/>
  <c r="F70" i="2" s="1"/>
  <c r="J71" i="1"/>
  <c r="F71" i="2" s="1"/>
  <c r="J72" i="1"/>
  <c r="F72" i="2" s="1"/>
  <c r="J73" i="1"/>
  <c r="F73" i="2" s="1"/>
  <c r="J74" i="1"/>
  <c r="F74" i="2" s="1"/>
  <c r="J75" i="1"/>
  <c r="F75" i="2" s="1"/>
  <c r="J76" i="1"/>
  <c r="F76" i="2" s="1"/>
  <c r="J4" i="1"/>
  <c r="F4" i="2" s="1"/>
</calcChain>
</file>

<file path=xl/sharedStrings.xml><?xml version="1.0" encoding="utf-8"?>
<sst xmlns="http://schemas.openxmlformats.org/spreadsheetml/2006/main" count="1143" uniqueCount="451">
  <si>
    <t xml:space="preserve">id</t>
    <phoneticPr fontId="1" type="noConversion"/>
  </si>
  <si>
    <t xml:space="preserve">water</t>
    <phoneticPr fontId="1" type="noConversion"/>
  </si>
  <si>
    <t xml:space="preserve">fire</t>
    <phoneticPr fontId="1" type="noConversion"/>
  </si>
  <si>
    <t xml:space="preserve">ground</t>
    <phoneticPr fontId="1" type="noConversion"/>
  </si>
  <si>
    <t xml:space="preserve">wand</t>
    <phoneticPr fontId="1" type="noConversion"/>
  </si>
  <si>
    <t xml:space="preserve">dark</t>
    <phoneticPr fontId="1" type="noConversion"/>
  </si>
  <si>
    <t xml:space="preserve">sky</t>
    <phoneticPr fontId="1" type="noConversion"/>
  </si>
  <si>
    <t xml:space="preserve">illusory</t>
    <phoneticPr fontId="1" type="noConversion"/>
  </si>
  <si>
    <t xml:space="preserve">attribute</t>
    <phoneticPr fontId="1" type="noConversion"/>
  </si>
  <si>
    <t xml:space="preserve">ground</t>
    <phoneticPr fontId="1" type="noConversion"/>
  </si>
  <si>
    <t xml:space="preserve">water</t>
    <phoneticPr fontId="1" type="noConversion"/>
  </si>
  <si>
    <t xml:space="preserve">fire</t>
    <phoneticPr fontId="1" type="noConversion"/>
  </si>
  <si>
    <t xml:space="preserve">wand</t>
    <phoneticPr fontId="1" type="noConversion"/>
  </si>
  <si>
    <t xml:space="preserve">dark</t>
    <phoneticPr fontId="1" type="noConversion"/>
  </si>
  <si>
    <t xml:space="preserve">illusory</t>
    <phoneticPr fontId="1" type="noConversion"/>
  </si>
  <si>
    <t xml:space="preserve">,</t>
    <phoneticPr fontId="1" type="noConversion"/>
  </si>
  <si>
    <t xml:space="preserve">name</t>
    <phoneticPr fontId="1" type="noConversion"/>
  </si>
  <si>
    <t xml:space="preserve">desp</t>
    <phoneticPr fontId="1" type="noConversion"/>
  </si>
  <si>
    <t xml:space="preserve">damageRate</t>
    <phoneticPr fontId="1" type="noConversion"/>
  </si>
  <si>
    <t xml:space="preserve">cost</t>
    <phoneticPr fontId="1" type="noConversion"/>
  </si>
  <si>
    <t xml:space="preserve">int</t>
    <phoneticPr fontId="1" type="noConversion"/>
  </si>
  <si>
    <t xml:space="preserve">string</t>
    <phoneticPr fontId="1" type="noConversion"/>
  </si>
  <si>
    <t xml:space="preserve">string</t>
    <phoneticPr fontId="1" type="noConversion"/>
  </si>
  <si>
    <t xml:space="preserve">float</t>
    <phoneticPr fontId="1" type="noConversion"/>
  </si>
  <si>
    <t xml:space="preserve">int</t>
    <phoneticPr fontId="1" type="noConversion"/>
  </si>
  <si>
    <t xml:space="preserve">int[]</t>
    <phoneticPr fontId="1" type="noConversion"/>
  </si>
  <si>
    <t xml:space="preserve">id</t>
    <phoneticPr fontId="1" type="noConversion"/>
  </si>
  <si>
    <t xml:space="preserve">name</t>
    <phoneticPr fontId="1" type="noConversion"/>
  </si>
  <si>
    <t xml:space="preserve">加防</t>
    <phoneticPr fontId="1" type="noConversion"/>
  </si>
  <si>
    <t xml:space="preserve">石化</t>
    <phoneticPr fontId="1" type="noConversion"/>
  </si>
  <si>
    <t xml:space="preserve">rate</t>
    <phoneticPr fontId="1" type="noConversion"/>
  </si>
  <si>
    <t xml:space="preserve">闪避</t>
    <phoneticPr fontId="1" type="noConversion"/>
  </si>
  <si>
    <t xml:space="preserve">无敌</t>
    <phoneticPr fontId="1" type="noConversion"/>
  </si>
  <si>
    <t xml:space="preserve">冻结</t>
    <phoneticPr fontId="1" type="noConversion"/>
  </si>
  <si>
    <t xml:space="preserve">加攻</t>
    <phoneticPr fontId="1" type="noConversion"/>
  </si>
  <si>
    <t xml:space="preserve">封技</t>
    <phoneticPr fontId="1" type="noConversion"/>
  </si>
  <si>
    <t xml:space="preserve">气绝</t>
    <phoneticPr fontId="1" type="noConversion"/>
  </si>
  <si>
    <t xml:space="preserve">混乱</t>
    <phoneticPr fontId="1" type="noConversion"/>
  </si>
  <si>
    <t xml:space="preserve">嘲讽</t>
    <phoneticPr fontId="1" type="noConversion"/>
  </si>
  <si>
    <t xml:space="preserve">中毒</t>
    <phoneticPr fontId="1" type="noConversion"/>
  </si>
  <si>
    <t xml:space="preserve">破甲</t>
    <phoneticPr fontId="1" type="noConversion"/>
  </si>
  <si>
    <t xml:space="preserve">麻痹</t>
    <phoneticPr fontId="1" type="noConversion"/>
  </si>
  <si>
    <t xml:space="preserve">int</t>
    <phoneticPr fontId="1" type="noConversion"/>
  </si>
  <si>
    <t xml:space="preserve">enum</t>
    <phoneticPr fontId="1" type="noConversion"/>
  </si>
  <si>
    <t xml:space="preserve">int</t>
    <phoneticPr fontId="1" type="noConversion"/>
  </si>
  <si>
    <t xml:space="preserve">技能描述1</t>
    <phoneticPr fontId="1" type="noConversion"/>
  </si>
  <si>
    <t xml:space="preserve">技能描述2</t>
  </si>
  <si>
    <t xml:space="preserve">技能描述3</t>
  </si>
  <si>
    <t xml:space="preserve">技能描述4</t>
  </si>
  <si>
    <t xml:space="preserve">技能描述5</t>
  </si>
  <si>
    <t xml:space="preserve">技能描述6</t>
  </si>
  <si>
    <t xml:space="preserve">技能描述7</t>
  </si>
  <si>
    <t xml:space="preserve">技能描述8</t>
  </si>
  <si>
    <t xml:space="preserve">技能描述9</t>
  </si>
  <si>
    <t xml:space="preserve">技能描述10</t>
  </si>
  <si>
    <t xml:space="preserve">技能描述11</t>
  </si>
  <si>
    <t xml:space="preserve">技能描述12</t>
  </si>
  <si>
    <t xml:space="preserve">技能描述13</t>
  </si>
  <si>
    <t xml:space="preserve">技能描述14</t>
  </si>
  <si>
    <t xml:space="preserve">技能描述15</t>
  </si>
  <si>
    <t xml:space="preserve">技能描述16</t>
  </si>
  <si>
    <t xml:space="preserve">技能描述17</t>
  </si>
  <si>
    <t xml:space="preserve">技能描述18</t>
  </si>
  <si>
    <t xml:space="preserve">技能描述19</t>
  </si>
  <si>
    <t xml:space="preserve">技能描述20</t>
  </si>
  <si>
    <t xml:space="preserve">技能描述21</t>
  </si>
  <si>
    <t xml:space="preserve">技能描述22</t>
  </si>
  <si>
    <t xml:space="preserve">技能描述23</t>
  </si>
  <si>
    <t xml:space="preserve">技能描述24</t>
  </si>
  <si>
    <t xml:space="preserve">技能描述25</t>
  </si>
  <si>
    <t xml:space="preserve">技能描述26</t>
  </si>
  <si>
    <t xml:space="preserve">技能描述27</t>
  </si>
  <si>
    <t xml:space="preserve">技能描述28</t>
  </si>
  <si>
    <t xml:space="preserve">技能描述29</t>
  </si>
  <si>
    <t xml:space="preserve">技能描述30</t>
  </si>
  <si>
    <t xml:space="preserve">技能描述31</t>
  </si>
  <si>
    <t xml:space="preserve">技能描述32</t>
  </si>
  <si>
    <t xml:space="preserve">技能描述33</t>
  </si>
  <si>
    <t xml:space="preserve">技能描述34</t>
  </si>
  <si>
    <t xml:space="preserve">技能描述35</t>
  </si>
  <si>
    <t xml:space="preserve">技能描述36</t>
  </si>
  <si>
    <t xml:space="preserve">技能描述37</t>
  </si>
  <si>
    <t xml:space="preserve">技能描述38</t>
  </si>
  <si>
    <t xml:space="preserve">技能描述39</t>
  </si>
  <si>
    <t xml:space="preserve">技能描述40</t>
  </si>
  <si>
    <t xml:space="preserve">技能描述41</t>
  </si>
  <si>
    <t xml:space="preserve">技能描述42</t>
  </si>
  <si>
    <t xml:space="preserve">技能描述43</t>
  </si>
  <si>
    <t xml:space="preserve">技能描述44</t>
  </si>
  <si>
    <t xml:space="preserve">技能描述45</t>
  </si>
  <si>
    <t xml:space="preserve">技能描述46</t>
  </si>
  <si>
    <t xml:space="preserve">技能描述47</t>
  </si>
  <si>
    <t xml:space="preserve">技能描述48</t>
  </si>
  <si>
    <t xml:space="preserve">技能描述49</t>
  </si>
  <si>
    <t xml:space="preserve">技能描述50</t>
  </si>
  <si>
    <t xml:space="preserve">技能描述51</t>
  </si>
  <si>
    <t xml:space="preserve">技能描述52</t>
  </si>
  <si>
    <t xml:space="preserve">技能描述53</t>
  </si>
  <si>
    <t xml:space="preserve">技能描述54</t>
  </si>
  <si>
    <t xml:space="preserve">技能描述55</t>
  </si>
  <si>
    <t xml:space="preserve">技能描述56</t>
  </si>
  <si>
    <t xml:space="preserve">技能描述57</t>
  </si>
  <si>
    <t xml:space="preserve">技能描述58</t>
  </si>
  <si>
    <t xml:space="preserve">技能描述59</t>
  </si>
  <si>
    <t xml:space="preserve">技能描述60</t>
  </si>
  <si>
    <t xml:space="preserve">技能描述61</t>
  </si>
  <si>
    <t xml:space="preserve">技能描述62</t>
  </si>
  <si>
    <t xml:space="preserve">技能描述63</t>
  </si>
  <si>
    <t xml:space="preserve">技能描述64</t>
  </si>
  <si>
    <t xml:space="preserve">技能描述65</t>
  </si>
  <si>
    <t xml:space="preserve">技能描述66</t>
  </si>
  <si>
    <t xml:space="preserve">技能描述67</t>
  </si>
  <si>
    <t xml:space="preserve">技能描述68</t>
  </si>
  <si>
    <t xml:space="preserve">技能描述69</t>
  </si>
  <si>
    <t xml:space="preserve">技能描述70</t>
  </si>
  <si>
    <t xml:space="preserve">技能描述71</t>
  </si>
  <si>
    <t xml:space="preserve">技能描述72</t>
  </si>
  <si>
    <t xml:space="preserve">技能描述73</t>
  </si>
  <si>
    <t xml:space="preserve">string</t>
    <phoneticPr fontId="1" type="noConversion"/>
  </si>
  <si>
    <t xml:space="preserve">element</t>
    <phoneticPr fontId="1" type="noConversion"/>
  </si>
  <si>
    <t xml:space="preserve">enum</t>
    <phoneticPr fontId="1" type="noConversion"/>
  </si>
  <si>
    <t xml:space="preserve">icon</t>
    <phoneticPr fontId="1" type="noConversion"/>
  </si>
  <si>
    <t xml:space="preserve">int</t>
    <phoneticPr fontId="1" type="noConversion"/>
  </si>
  <si>
    <t xml:space="preserve">int[]</t>
    <phoneticPr fontId="1" type="noConversion"/>
  </si>
  <si>
    <t xml:space="preserve">SpiritsType</t>
    <phoneticPr fontId="1" type="noConversion"/>
  </si>
  <si>
    <t xml:space="preserve">water</t>
    <phoneticPr fontId="1" type="noConversion"/>
  </si>
  <si>
    <t xml:space="preserve">fire</t>
    <phoneticPr fontId="1" type="noConversion"/>
  </si>
  <si>
    <t xml:space="preserve">wand</t>
    <phoneticPr fontId="1" type="noConversion"/>
  </si>
  <si>
    <t xml:space="preserve">none</t>
    <phoneticPr fontId="1" type="noConversion"/>
  </si>
  <si>
    <t xml:space="preserve">ground</t>
    <phoneticPr fontId="1" type="noConversion"/>
  </si>
  <si>
    <t xml:space="preserve">dark</t>
    <phoneticPr fontId="1" type="noConversion"/>
  </si>
  <si>
    <t xml:space="preserve">sky</t>
    <phoneticPr fontId="1" type="noConversion"/>
  </si>
  <si>
    <t xml:space="preserve">,</t>
    <phoneticPr fontId="1" type="noConversion"/>
  </si>
  <si>
    <t xml:space="preserve">pos1</t>
    <phoneticPr fontId="1" type="noConversion"/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</si>
  <si>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</si>
  <si>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</si>
  <si>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</si>
  <si>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</si>
  <si>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</si>
  <si>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pos7</t>
  </si>
  <si>
    <t xml:space="preserve">回复术</t>
    <phoneticPr fontId="1" type="noConversion"/>
  </si>
  <si>
    <t xml:space="preserve">中回复术</t>
    <phoneticPr fontId="1" type="noConversion"/>
  </si>
  <si>
    <t xml:space="preserve">全回复术</t>
    <phoneticPr fontId="1" type="noConversion"/>
  </si>
  <si>
    <t xml:space="preserve">治愈术</t>
    <phoneticPr fontId="1" type="noConversion"/>
  </si>
  <si>
    <t xml:space="preserve">复苏术</t>
    <phoneticPr fontId="1" type="noConversion"/>
  </si>
  <si>
    <t xml:space="preserve">圣灵术</t>
    <phoneticPr fontId="1" type="noConversion"/>
  </si>
  <si>
    <t xml:space="preserve">石之锤</t>
    <phoneticPr fontId="1" type="noConversion"/>
  </si>
  <si>
    <t xml:space="preserve">大地之枪</t>
    <phoneticPr fontId="1" type="noConversion"/>
  </si>
  <si>
    <t xml:space="preserve">岩石之息</t>
    <phoneticPr fontId="1" type="noConversion"/>
  </si>
  <si>
    <t xml:space="preserve">巨石冲击</t>
    <phoneticPr fontId="1" type="noConversion"/>
  </si>
  <si>
    <t xml:space="preserve">泰坦之咆哮</t>
    <phoneticPr fontId="1" type="noConversion"/>
  </si>
  <si>
    <t xml:space="preserve">大地之障</t>
    <phoneticPr fontId="1" type="noConversion"/>
  </si>
  <si>
    <t xml:space="preserve">结晶防护</t>
    <phoneticPr fontId="1" type="noConversion"/>
  </si>
  <si>
    <t xml:space="preserve">结晶防护*复</t>
    <phoneticPr fontId="1" type="noConversion"/>
  </si>
  <si>
    <t xml:space="preserve">岩石之云</t>
    <phoneticPr fontId="1" type="noConversion"/>
  </si>
  <si>
    <t xml:space="preserve">凝胶稠絮</t>
    <phoneticPr fontId="1" type="noConversion"/>
  </si>
  <si>
    <t xml:space="preserve">大地之墙</t>
    <phoneticPr fontId="1" type="noConversion"/>
  </si>
  <si>
    <t xml:space="preserve">天神之锤</t>
    <phoneticPr fontId="1" type="noConversion"/>
  </si>
  <si>
    <t xml:space="preserve">大地之毁灭</t>
    <phoneticPr fontId="1" type="noConversion"/>
  </si>
  <si>
    <t xml:space="preserve">盖亚之盾</t>
    <phoneticPr fontId="1" type="noConversion"/>
  </si>
  <si>
    <t xml:space="preserve">强力之音</t>
    <phoneticPr fontId="1" type="noConversion"/>
  </si>
  <si>
    <t xml:space="preserve">强力之音*复</t>
    <phoneticPr fontId="1" type="noConversion"/>
  </si>
  <si>
    <t xml:space="preserve">回复术*复</t>
    <phoneticPr fontId="1" type="noConversion"/>
  </si>
  <si>
    <t xml:space="preserve">大回复术</t>
    <phoneticPr fontId="1" type="noConversion"/>
  </si>
  <si>
    <t xml:space="preserve">中回复术*复</t>
    <phoneticPr fontId="1" type="noConversion"/>
  </si>
  <si>
    <t xml:space="preserve">大回复术*复</t>
    <phoneticPr fontId="1" type="noConversion"/>
  </si>
  <si>
    <t xml:space="preserve">全回复术*复</t>
    <phoneticPr fontId="1" type="noConversion"/>
  </si>
  <si>
    <t xml:space="preserve">风之羽翼</t>
    <phoneticPr fontId="1" type="noConversion"/>
  </si>
  <si>
    <t xml:space="preserve">风之守护</t>
    <phoneticPr fontId="1" type="noConversion"/>
  </si>
  <si>
    <t xml:space="preserve">风之穿梭</t>
    <phoneticPr fontId="1" type="noConversion"/>
  </si>
  <si>
    <t xml:space="preserve">时间加速</t>
    <phoneticPr fontId="1" type="noConversion"/>
  </si>
  <si>
    <t xml:space="preserve">时间加速*改</t>
    <phoneticPr fontId="1" type="noConversion"/>
  </si>
  <si>
    <t xml:space="preserve">A*结晶防护</t>
    <phoneticPr fontId="1" type="noConversion"/>
  </si>
  <si>
    <t xml:space="preserve">根源屏障</t>
    <phoneticPr fontId="1" type="noConversion"/>
  </si>
  <si>
    <t xml:space="preserve">神圣祝福</t>
    <phoneticPr fontId="1" type="noConversion"/>
  </si>
  <si>
    <t xml:space="preserve">星之守护</t>
    <phoneticPr fontId="1" type="noConversion"/>
  </si>
  <si>
    <t xml:space="preserve">弧光消耗</t>
    <phoneticPr fontId="1" type="noConversion"/>
  </si>
  <si>
    <t xml:space="preserve">反魔法领域</t>
    <phoneticPr fontId="1" type="noConversion"/>
  </si>
  <si>
    <t xml:space="preserve">反魔法领域*复</t>
    <phoneticPr fontId="1" type="noConversion"/>
  </si>
  <si>
    <t xml:space="preserve">导力停止</t>
    <phoneticPr fontId="1" type="noConversion"/>
  </si>
  <si>
    <t xml:space="preserve">时间减速</t>
    <phoneticPr fontId="1" type="noConversion"/>
  </si>
  <si>
    <t xml:space="preserve">混沌烙印</t>
    <phoneticPr fontId="1" type="noConversion"/>
  </si>
  <si>
    <t xml:space="preserve">鬼魅之痛</t>
    <phoneticPr fontId="1" type="noConversion"/>
  </si>
  <si>
    <t xml:space="preserve">沉默十字</t>
    <phoneticPr fontId="1" type="noConversion"/>
  </si>
  <si>
    <t xml:space="preserve">银色荆棘</t>
    <phoneticPr fontId="1" type="noConversion"/>
  </si>
  <si>
    <t xml:space="preserve">虚弱领域</t>
    <phoneticPr fontId="1" type="noConversion"/>
  </si>
  <si>
    <t xml:space="preserve">水之矢</t>
    <phoneticPr fontId="1" type="noConversion"/>
  </si>
  <si>
    <t xml:space="preserve">冰蓝冲击</t>
    <phoneticPr fontId="1" type="noConversion"/>
  </si>
  <si>
    <t xml:space="preserve">水蓝轰炸</t>
    <phoneticPr fontId="1" type="noConversion"/>
  </si>
  <si>
    <t xml:space="preserve">钻石星尘</t>
    <phoneticPr fontId="1" type="noConversion"/>
  </si>
  <si>
    <t xml:space="preserve">冰狱冥嚎</t>
    <phoneticPr fontId="1" type="noConversion"/>
  </si>
  <si>
    <t xml:space="preserve">炎之箭</t>
    <phoneticPr fontId="1" type="noConversion"/>
  </si>
  <si>
    <t xml:space="preserve">燃烧之息</t>
    <phoneticPr fontId="1" type="noConversion"/>
  </si>
  <si>
    <t xml:space="preserve">龙卷火焰</t>
    <phoneticPr fontId="1" type="noConversion"/>
  </si>
  <si>
    <t xml:space="preserve">火之矢*改</t>
    <phoneticPr fontId="1" type="noConversion"/>
  </si>
  <si>
    <t xml:space="preserve">螺旋之炎</t>
    <phoneticPr fontId="1" type="noConversion"/>
  </si>
  <si>
    <t xml:space="preserve">火山之咆哮</t>
    <phoneticPr fontId="1" type="noConversion"/>
  </si>
  <si>
    <t xml:space="preserve">陨石坠落</t>
    <phoneticPr fontId="1" type="noConversion"/>
  </si>
  <si>
    <t xml:space="preserve">弧形日珥</t>
    <phoneticPr fontId="1" type="noConversion"/>
  </si>
  <si>
    <t xml:space="preserve">风之轮</t>
    <phoneticPr fontId="1" type="noConversion"/>
  </si>
  <si>
    <t xml:space="preserve">风之领域</t>
    <phoneticPr fontId="1" type="noConversion"/>
  </si>
  <si>
    <t xml:space="preserve">闪电光束</t>
    <phoneticPr fontId="1" type="noConversion"/>
  </si>
  <si>
    <t xml:space="preserve">狂怒风暴</t>
    <phoneticPr fontId="1" type="noConversion"/>
  </si>
  <si>
    <t xml:space="preserve">等离子之波</t>
    <phoneticPr fontId="1" type="noConversion"/>
  </si>
  <si>
    <t xml:space="preserve">审判之雷</t>
    <phoneticPr fontId="1" type="noConversion"/>
  </si>
  <si>
    <t xml:space="preserve">天龙卷</t>
    <phoneticPr fontId="1" type="noConversion"/>
  </si>
  <si>
    <t xml:space="preserve">心灵之霞</t>
    <phoneticPr fontId="1" type="noConversion"/>
  </si>
  <si>
    <t xml:space="preserve">地狱之门</t>
    <phoneticPr fontId="1" type="noConversion"/>
  </si>
  <si>
    <t xml:space="preserve">暗影之矛</t>
    <phoneticPr fontId="1" type="noConversion"/>
  </si>
  <si>
    <t xml:space="preserve">苍白地狱</t>
    <phoneticPr fontId="1" type="noConversion"/>
  </si>
  <si>
    <t xml:space="preserve">死亡咆哮</t>
    <phoneticPr fontId="1" type="noConversion"/>
  </si>
  <si>
    <t xml:space="preserve">堕落地狱</t>
    <phoneticPr fontId="1" type="noConversion"/>
  </si>
  <si>
    <t xml:space="preserve">暗物质</t>
    <phoneticPr fontId="1" type="noConversion"/>
  </si>
  <si>
    <t xml:space="preserve">破碎虚空</t>
    <phoneticPr fontId="1" type="noConversion"/>
  </si>
  <si>
    <t xml:space="preserve">wand</t>
    <phoneticPr fontId="1" type="noConversion"/>
  </si>
  <si>
    <t xml:space="preserve">dark</t>
    <phoneticPr fontId="1" type="noConversion"/>
  </si>
  <si>
    <t xml:space="preserve">dark</t>
    <phoneticPr fontId="1" type="noConversion"/>
  </si>
  <si>
    <t xml:space="preserve">sky</t>
    <phoneticPr fontId="1" type="noConversion"/>
  </si>
  <si>
    <t xml:space="preserve">illusory</t>
    <phoneticPr fontId="1" type="noConversion"/>
  </si>
  <si>
    <t xml:space="preserve">风之枪</t>
    <phoneticPr fontId="1" type="noConversion"/>
  </si>
  <si>
    <t xml:space="preserve">E-消耗</t>
    <phoneticPr fontId="1" type="noConversion"/>
  </si>
  <si>
    <t xml:space="preserve">灾难冲击波</t>
    <phoneticPr fontId="1" type="noConversion"/>
  </si>
  <si>
    <t xml:space="preserve">暗物质*改</t>
    <phoneticPr fontId="1" type="noConversion"/>
  </si>
  <si>
    <t xml:space="preserve">风暴降临</t>
    <phoneticPr fontId="1" type="noConversion"/>
  </si>
  <si>
    <t xml:space="preserve">次元上升</t>
    <phoneticPr fontId="1" type="noConversion"/>
  </si>
  <si>
    <t xml:space="preserve">wand</t>
    <phoneticPr fontId="1" type="noConversion"/>
  </si>
  <si>
    <t xml:space="preserve">dark</t>
    <phoneticPr fontId="1" type="noConversion"/>
  </si>
  <si>
    <t xml:space="preserve">sky</t>
    <phoneticPr fontId="1" type="noConversion"/>
  </si>
  <si>
    <t xml:space="preserve">技能描述74</t>
  </si>
  <si>
    <t xml:space="preserve">技能描述75</t>
  </si>
  <si>
    <t xml:space="preserve">技能描述76</t>
  </si>
  <si>
    <t xml:space="preserve">技能描述77</t>
  </si>
  <si>
    <t xml:space="preserve">技能描述78</t>
  </si>
  <si>
    <t xml:space="preserve">技能描述79</t>
  </si>
  <si>
    <t xml:space="preserve">技能描述80</t>
  </si>
  <si>
    <t xml:space="preserve">技能描述81</t>
  </si>
  <si>
    <t xml:space="preserve">技能描述82</t>
  </si>
  <si>
    <t xml:space="preserve">dark</t>
    <phoneticPr fontId="1" type="noConversion"/>
  </si>
  <si>
    <t xml:space="preserve">治愈术*复</t>
    <phoneticPr fontId="1" type="noConversion"/>
  </si>
  <si>
    <t xml:space="preserve">float[]</t>
    <phoneticPr fontId="1" type="noConversion"/>
  </si>
  <si>
    <t xml:space="preserve">enum</t>
    <phoneticPr fontId="1" type="noConversion"/>
  </si>
  <si>
    <t xml:space="preserve">bool</t>
    <phoneticPr fontId="1" type="noConversion"/>
  </si>
  <si>
    <t xml:space="preserve">atkTimes</t>
    <phoneticPr fontId="1" type="noConversion"/>
  </si>
  <si>
    <t xml:space="preserve">atkScale</t>
    <phoneticPr fontId="1" type="noConversion"/>
  </si>
  <si>
    <t xml:space="preserve">scaleVals</t>
    <phoneticPr fontId="1" type="noConversion"/>
  </si>
  <si>
    <t xml:space="preserve">Fx</t>
    <phoneticPr fontId="1" type="noConversion"/>
  </si>
  <si>
    <t xml:space="preserve">int</t>
    <phoneticPr fontId="1" type="noConversion"/>
  </si>
  <si>
    <t xml:space="preserve">One</t>
    <phoneticPr fontId="1" type="noConversion"/>
  </si>
  <si>
    <t xml:space="preserve">CoolDown</t>
    <phoneticPr fontId="1" type="noConversion"/>
  </si>
  <si>
    <t xml:space="preserve">float</t>
    <phoneticPr fontId="1" type="noConversion"/>
  </si>
  <si>
    <t xml:space="preserve">string</t>
    <phoneticPr fontId="1" type="noConversion"/>
  </si>
  <si>
    <t xml:space="preserve">Rect</t>
    <phoneticPr fontId="1" type="noConversion"/>
  </si>
  <si>
    <t xml:space="preserve">Row</t>
    <phoneticPr fontId="1" type="noConversion"/>
  </si>
  <si>
    <t xml:space="preserve">Column</t>
    <phoneticPr fontId="1" type="noConversion"/>
  </si>
  <si>
    <t xml:space="preserve">Cross</t>
    <phoneticPr fontId="1" type="noConversion"/>
  </si>
  <si>
    <t xml:space="preserve">2,3</t>
    <phoneticPr fontId="1" type="noConversion"/>
  </si>
  <si>
    <t xml:space="preserve">HitFxName</t>
    <phoneticPr fontId="1" type="noConversion"/>
  </si>
  <si>
    <t xml:space="preserve">3,1</t>
    <phoneticPr fontId="1" type="noConversion"/>
  </si>
  <si>
    <t xml:space="preserve">1,3</t>
    <phoneticPr fontId="1" type="noConversion"/>
  </si>
  <si>
    <t xml:space="preserve">IsOneFx</t>
    <phoneticPr fontId="1" type="noConversion"/>
  </si>
  <si>
    <t xml:space="preserve">bool</t>
    <phoneticPr fontId="1" type="noConversion"/>
  </si>
  <si>
    <t xml:space="preserve">Square</t>
    <phoneticPr fontId="1" type="noConversion"/>
  </si>
  <si>
    <t xml:space="preserve">Summon</t>
    <phoneticPr fontId="1" type="noConversion"/>
  </si>
  <si>
    <t xml:space="preserve">HitPos</t>
    <phoneticPr fontId="1" type="noConversion"/>
  </si>
  <si>
    <t xml:space="preserve">FootPos</t>
    <phoneticPr fontId="1" type="noConversion"/>
  </si>
  <si>
    <t xml:space="preserve">HeadPos</t>
    <phoneticPr fontId="1" type="noConversion"/>
  </si>
  <si>
    <t xml:space="preserve">BodyPos</t>
    <phoneticPr fontId="1" type="noConversion"/>
  </si>
  <si>
    <t xml:space="preserve">enum</t>
    <phoneticPr fontId="1" type="noConversion"/>
  </si>
  <si>
    <t xml:space="preserve">剑</t>
    <phoneticPr fontId="1" type="noConversion"/>
  </si>
  <si>
    <t xml:space="preserve">弓</t>
    <phoneticPr fontId="1" type="noConversion"/>
  </si>
  <si>
    <t xml:space="preserve">枪</t>
    <phoneticPr fontId="1" type="noConversion"/>
  </si>
  <si>
    <t xml:space="preserve">法杖</t>
    <phoneticPr fontId="1" type="noConversion"/>
  </si>
  <si>
    <t xml:space="preserve">技能描述83</t>
  </si>
  <si>
    <t xml:space="preserve">技能描述84</t>
  </si>
  <si>
    <t xml:space="preserve">技能描述86</t>
  </si>
  <si>
    <t xml:space="preserve">技能描述87</t>
  </si>
  <si>
    <t xml:space="preserve">技能描述85</t>
    <phoneticPr fontId="1" type="noConversion"/>
  </si>
  <si>
    <t xml:space="preserve">none</t>
  </si>
  <si>
    <t xml:space="preserve">匕首</t>
    <phoneticPr fontId="1" type="noConversion"/>
  </si>
  <si>
    <t xml:space="preserve">盾斧</t>
    <phoneticPr fontId="1" type="noConversion"/>
  </si>
  <si>
    <t xml:space="preserve">100000,,,,,,</t>
    <phoneticPr fontId="1" type="noConversion"/>
  </si>
  <si>
    <t xml:space="preserve">NoFx</t>
    <phoneticPr fontId="1" type="noConversion"/>
  </si>
  <si>
    <t xml:space="preserve">2,1</t>
    <phoneticPr fontId="1" type="noConversion"/>
  </si>
  <si>
    <t xml:space="preserve">播放一个特效</t>
    <phoneticPr fontId="1" type="noConversion"/>
  </si>
  <si>
    <t xml:space="preserve">offsets</t>
    <phoneticPr fontId="1" type="noConversion"/>
  </si>
  <si>
    <t xml:space="preserve">-1</t>
    <phoneticPr fontId="1" type="noConversion"/>
  </si>
  <si>
    <t xml:space="preserve">-1.5</t>
    <phoneticPr fontId="1" type="noConversion"/>
  </si>
  <si>
    <t xml:space="preserve">-1.5,-0.8,0,0.8,1.5</t>
    <phoneticPr fontId="1" type="noConversion"/>
  </si>
  <si>
    <t xml:space="preserve">间隔时间</t>
    <phoneticPr fontId="1" type="noConversion"/>
  </si>
  <si>
    <t xml:space="preserve">float</t>
    <phoneticPr fontId="1" type="noConversion"/>
  </si>
  <si>
    <t xml:space="preserve">IsRotate</t>
    <phoneticPr fontId="1" type="noConversion"/>
  </si>
  <si>
    <t xml:space="preserve">飞行粒子是否转向</t>
    <phoneticPr fontId="1" type="noConversion"/>
  </si>
  <si>
    <t xml:space="preserve">Around</t>
    <phoneticPr fontId="1" type="noConversion"/>
  </si>
  <si>
    <t xml:space="preserve">FxFireWall</t>
  </si>
  <si>
    <t xml:space="preserve">FlyBall</t>
  </si>
  <si>
    <t xml:space="preserve">FlyArrow</t>
  </si>
  <si>
    <t xml:space="preserve">FlySpear</t>
  </si>
  <si>
    <t xml:space="preserve">火弹术</t>
    <phoneticPr fontId="1" type="noConversion"/>
  </si>
  <si>
    <t xml:space="preserve">飞剑术</t>
  </si>
  <si>
    <t xml:space="preserve">fire</t>
  </si>
  <si>
    <t xml:space="preserve">BodyPos</t>
  </si>
  <si>
    <t xml:space="preserve">-1.5,-0.8,0,0.8,1.5</t>
  </si>
  <si>
    <t xml:space="preserve">One</t>
  </si>
  <si>
    <t xml:space="preserve">火弹术</t>
  </si>
  <si>
    <t xml:space="preserve">Fx</t>
  </si>
  <si>
    <t xml:space="preserve">FootPos</t>
  </si>
  <si>
    <t xml:space="preserve">Around</t>
  </si>
  <si>
    <t xml:space="preserve">ground</t>
  </si>
  <si>
    <t xml:space="preserve">Rect</t>
  </si>
  <si>
    <t xml:space="preserve">2,3</t>
  </si>
  <si>
    <t xml:space="preserve">Row</t>
  </si>
  <si>
    <t xml:space="preserve">3,1</t>
  </si>
  <si>
    <t xml:space="preserve">Column</t>
  </si>
  <si>
    <t xml:space="preserve">1,3</t>
  </si>
  <si>
    <t xml:space="preserve">Cross</t>
  </si>
  <si>
    <t xml:space="preserve">Square</t>
  </si>
  <si>
    <t xml:space="preserve">灼烧</t>
    <phoneticPr fontId="1" type="noConversion"/>
  </si>
  <si>
    <t xml:space="preserve">火墙</t>
    <phoneticPr fontId="1" type="noConversion"/>
  </si>
  <si>
    <t xml:space="preserve">water</t>
  </si>
  <si>
    <t xml:space="preserve">wand</t>
  </si>
  <si>
    <t xml:space="preserve">dark</t>
  </si>
  <si>
    <t xml:space="preserve">sky</t>
  </si>
  <si>
    <t xml:space="preserve">illusory</t>
  </si>
  <si>
    <t xml:space="preserve">落石</t>
    <phoneticPr fontId="1" type="noConversion"/>
  </si>
  <si>
    <t xml:space="preserve">FxGround</t>
  </si>
  <si>
    <t xml:space="preserve">HitAtk</t>
  </si>
  <si>
    <t xml:space="preserve">CastOne</t>
  </si>
  <si>
    <t xml:space="preserve">FootPos</t>
    <phoneticPr fontId="1" type="noConversion"/>
  </si>
  <si>
    <t xml:space="preserve">-2,-1,0,1,2</t>
    <phoneticPr fontId="1" type="noConversion"/>
  </si>
  <si>
    <t xml:space="preserve">Square</t>
    <phoneticPr fontId="1" type="noConversion"/>
  </si>
  <si>
    <t xml:space="preserve">float</t>
    <phoneticPr fontId="1" type="noConversion"/>
  </si>
  <si>
    <t xml:space="preserve">FxName</t>
    <phoneticPr fontId="1" type="noConversion"/>
  </si>
  <si>
    <t xml:space="preserve">CastFxName</t>
    <phoneticPr fontId="1" type="noConversion"/>
  </si>
  <si>
    <t xml:space="preserve">float</t>
    <phoneticPr fontId="1" type="noConversion"/>
  </si>
  <si>
    <t xml:space="preserve">FxEndTime</t>
    <phoneticPr fontId="1" type="noConversion"/>
  </si>
  <si>
    <t xml:space="preserve">HitEndTime</t>
    <phoneticPr fontId="1" type="noConversion"/>
  </si>
  <si>
    <t xml:space="preserve">CastEndTime</t>
    <phoneticPr fontId="1" type="noConversion"/>
  </si>
  <si>
    <t xml:space="preserve">Partical</t>
    <phoneticPr fontId="1" type="noConversion"/>
  </si>
  <si>
    <t xml:space="preserve">Anima</t>
    <phoneticPr fontId="1" type="noConversion"/>
  </si>
  <si>
    <t xml:space="preserve">FxType</t>
    <phoneticPr fontId="1" type="noConversion"/>
  </si>
  <si>
    <t xml:space="preserve">FxAtkTime</t>
    <phoneticPr fontId="1" type="noConversion"/>
  </si>
  <si>
    <t xml:space="preserve">AtkType</t>
    <phoneticPr fontId="1" type="noConversion"/>
  </si>
  <si>
    <t xml:space="preserve">Fly</t>
    <phoneticPr fontId="1" type="noConversion"/>
  </si>
  <si>
    <t xml:space="preserve">IsBuff</t>
    <phoneticPr fontId="1" type="noConversion"/>
  </si>
  <si>
    <t xml:space="preserve">贝塞尔曲度</t>
    <phoneticPr fontId="1" type="noConversion"/>
  </si>
  <si>
    <t xml:space="preserve">FireInterval</t>
    <phoneticPr fontId="1" type="noConversion"/>
  </si>
  <si>
    <t xml:space="preserve">IsHarmSelf</t>
    <phoneticPr fontId="1" type="noConversion"/>
  </si>
  <si>
    <t xml:space="preserve">icon</t>
    <phoneticPr fontId="1" type="noConversion"/>
  </si>
  <si>
    <t xml:space="preserve">round</t>
    <phoneticPr fontId="1" type="noConversion"/>
  </si>
  <si>
    <t xml:space="preserve">触发概率</t>
    <phoneticPr fontId="1" type="noConversion"/>
  </si>
  <si>
    <t xml:space="preserve">持续回合</t>
    <phoneticPr fontId="1" type="noConversion"/>
  </si>
  <si>
    <t xml:space="preserve">buffType</t>
    <phoneticPr fontId="1" type="noConversion"/>
  </si>
  <si>
    <t xml:space="preserve">enum</t>
    <phoneticPr fontId="1" type="noConversion"/>
  </si>
  <si>
    <t xml:space="preserve">buff</t>
    <phoneticPr fontId="1" type="noConversion"/>
  </si>
  <si>
    <t xml:space="preserve">debuff</t>
    <phoneticPr fontId="1" type="noConversion"/>
  </si>
  <si>
    <t xml:space="preserve">Buff</t>
    <phoneticPr fontId="1" type="noConversion"/>
  </si>
  <si>
    <t xml:space="preserve">BuffVals</t>
    <phoneticPr fontId="1" type="noConversion"/>
  </si>
  <si>
    <t xml:space="preserve">位移距离</t>
    <phoneticPr fontId="1" type="noConversion"/>
  </si>
  <si>
    <t xml:space="preserve">概率，持续回合，数值</t>
    <phoneticPr fontId="1" type="noConversion"/>
  </si>
  <si>
    <t xml:space="preserve">FxName</t>
    <phoneticPr fontId="1" type="noConversion"/>
  </si>
  <si>
    <t xml:space="preserve">BuffSheild</t>
    <phoneticPr fontId="1" type="noConversion"/>
  </si>
  <si>
    <t xml:space="preserve">string</t>
    <phoneticPr fontId="1" type="noConversion"/>
  </si>
  <si>
    <t xml:space="preserve">狂暴</t>
    <phoneticPr fontId="1" type="noConversion"/>
  </si>
  <si>
    <t xml:space="preserve">Critical</t>
    <phoneticPr fontId="1" type="noConversion"/>
  </si>
  <si>
    <t xml:space="preserve">Seal</t>
    <phoneticPr fontId="1" type="noConversion"/>
  </si>
  <si>
    <t xml:space="preserve">Defence</t>
    <phoneticPr fontId="1" type="noConversion"/>
  </si>
  <si>
    <t xml:space="preserve">Skip</t>
    <phoneticPr fontId="1" type="noConversion"/>
  </si>
  <si>
    <t xml:space="preserve">Miss</t>
    <phoneticPr fontId="1" type="noConversion"/>
  </si>
  <si>
    <t xml:space="preserve">NoInjury</t>
    <phoneticPr fontId="1" type="noConversion"/>
  </si>
  <si>
    <t xml:space="preserve">Skip</t>
    <phoneticPr fontId="1" type="noConversion"/>
  </si>
  <si>
    <t xml:space="preserve">Atk</t>
    <phoneticPr fontId="1" type="noConversion"/>
  </si>
  <si>
    <t xml:space="preserve">MP</t>
    <phoneticPr fontId="1" type="noConversion"/>
  </si>
  <si>
    <t xml:space="preserve">HP</t>
    <phoneticPr fontId="1" type="noConversion"/>
  </si>
  <si>
    <t xml:space="preserve">Chaos</t>
    <phoneticPr fontId="1" type="noConversion"/>
  </si>
  <si>
    <t xml:space="preserve">HP</t>
    <phoneticPr fontId="1" type="noConversion"/>
  </si>
  <si>
    <t xml:space="preserve">Defence</t>
    <phoneticPr fontId="1" type="noConversion"/>
  </si>
  <si>
    <t xml:space="preserve">BuffId</t>
    <phoneticPr fontId="1" type="noConversion"/>
  </si>
  <si>
    <t xml:space="preserve">buff</t>
    <phoneticPr fontId="1" type="noConversion"/>
  </si>
  <si>
    <t xml:space="preserve">enum</t>
    <phoneticPr fontId="1" type="noConversion"/>
  </si>
  <si>
    <t xml:space="preserve">buff数值1</t>
    <phoneticPr fontId="1" type="noConversion"/>
  </si>
  <si>
    <t xml:space="preserve">Palsy</t>
    <phoneticPr fontId="1" type="noConversion"/>
  </si>
  <si>
    <t xml:space="preserve">跳过+减防</t>
    <phoneticPr fontId="1" type="noConversion"/>
  </si>
  <si>
    <t xml:space="preserve">aaa</t>
    <phoneticPr fontId="1" type="noConversion"/>
  </si>
  <si>
    <t xml:space="preserve">f</t>
    <phoneticPr fontId="1" type="noConversion"/>
  </si>
  <si>
    <t xml:space="preserve">s</t>
    <phoneticPr fontId="1" type="noConversion"/>
  </si>
  <si>
    <t xml:space="preserve">d</t>
    <phoneticPr fontId="1" type="noConversion"/>
  </si>
  <si>
    <t xml:space="preserve">Taunt </t>
  </si>
  <si>
    <t xml:space="preserve">Buffname</t>
    <phoneticPr fontId="1" type="noConversion"/>
  </si>
  <si>
    <t xml:space="preserve">50,2</t>
    <phoneticPr fontId="1" type="noConversion"/>
  </si>
  <si>
    <t xml:space="preserve">50,2</t>
    <phoneticPr fontId="1" type="noConversion"/>
  </si>
  <si>
    <t xml:space="preserve">50,2</t>
    <phoneticPr fontId="1" type="noConversion"/>
  </si>
  <si>
    <t xml:space="preserve">50,2,15</t>
    <phoneticPr fontId="1" type="noConversion"/>
  </si>
  <si>
    <t xml:space="preserve">skull-shield</t>
    <phoneticPr fontId="1" type="noConversion"/>
  </si>
  <si>
    <t xml:space="preserve">灼烧</t>
    <phoneticPr fontId="1" type="noConversion"/>
  </si>
  <si>
    <t xml:space="preserve">burning-skull</t>
  </si>
  <si>
    <t xml:space="preserve">poison-gas</t>
  </si>
  <si>
    <t xml:space="preserve">william-tell-skull</t>
  </si>
  <si>
    <t xml:space="preserve">thunder-skull</t>
  </si>
  <si>
    <t xml:space="preserve">眩晕</t>
    <phoneticPr fontId="1" type="noConversion"/>
  </si>
  <si>
    <t xml:space="preserve">stoned-skull</t>
  </si>
  <si>
    <t xml:space="preserve">skull-crossed-bones</t>
  </si>
  <si>
    <t xml:space="preserve">dread-skull</t>
  </si>
  <si>
    <t xml:space="preserve">surprised-skull</t>
  </si>
  <si>
    <t xml:space="preserve">disintegrate</t>
  </si>
  <si>
    <t xml:space="preserve">carrion</t>
  </si>
  <si>
    <t xml:space="preserve">daemon-skull</t>
  </si>
  <si>
    <t xml:space="preserve">skull-crack</t>
  </si>
  <si>
    <t xml:space="preserve">skull-bolt</t>
  </si>
  <si>
    <t xml:space="preserve">pirate-flag</t>
  </si>
  <si>
    <t xml:space="preserve">crowned-skull</t>
  </si>
  <si>
    <t xml:space="preserve">skull-slices</t>
  </si>
  <si>
    <t xml:space="preserve">Self</t>
    <phoneticPr fontId="1" type="noConversion"/>
  </si>
  <si>
    <t xml:space="preserve">Partner</t>
    <phoneticPr fontId="1" type="noConversion"/>
  </si>
  <si>
    <t xml:space="preserve">Team</t>
    <phoneticPr fontId="1" type="noConversion"/>
  </si>
  <si>
    <t xml:space="preserve">狂热</t>
    <phoneticPr fontId="1" type="noConversion"/>
  </si>
  <si>
    <t xml:space="preserve">回复术</t>
    <phoneticPr fontId="1" type="noConversion"/>
  </si>
  <si>
    <t xml:space="preserve">回复术*全</t>
    <phoneticPr fontId="1" type="noConversion"/>
  </si>
  <si>
    <t xml:space="preserve">50,3,-8</t>
    <phoneticPr fontId="1" type="noConversion"/>
  </si>
  <si>
    <t xml:space="preserve">100,4,50</t>
    <phoneticPr fontId="1" type="noConversion"/>
  </si>
  <si>
    <t xml:space="preserve">100,1,100</t>
    <phoneticPr fontId="1" type="noConversion"/>
  </si>
  <si>
    <t xml:space="preserve">100,1,110</t>
    <phoneticPr fontId="1" type="noConversion"/>
  </si>
  <si>
    <t xml:space="preserve">Hot</t>
    <phoneticPr fontId="1" type="noConversion"/>
  </si>
  <si>
    <t xml:space="preserve">回复即时</t>
    <phoneticPr fontId="1" type="noConversion"/>
  </si>
  <si>
    <t xml:space="preserve">HPNow</t>
    <phoneticPr fontId="1" type="noConversion"/>
  </si>
  <si>
    <t xml:space="preserve">BuffHP</t>
    <phoneticPr fontId="1" type="noConversion"/>
  </si>
  <si>
    <t xml:space="preserve">AnimaName</t>
    <phoneticPr fontId="1" type="noConversion"/>
  </si>
  <si>
    <t xml:space="preserve">Skill</t>
    <phoneticPr fontId="1" type="noConversion"/>
  </si>
  <si>
    <t xml:space="preserve">SelfSkill</t>
    <phoneticPr fontId="1" type="noConversion"/>
  </si>
  <si>
    <t xml:space="preserve">AtkMinRange</t>
    <phoneticPr fontId="1" type="noConversion"/>
  </si>
  <si>
    <t xml:space="preserve">AtkMaxRange</t>
    <phoneticPr fontId="1" type="noConversion"/>
  </si>
  <si>
    <t xml:space="preserve">int</t>
    <phoneticPr fontId="1" type="noConversion"/>
  </si>
  <si>
    <t xml:space="preserve">,,,,,,</t>
    <phoneticPr fontId="1" type="noConversion"/>
  </si>
  <si>
    <t xml:space="preserve">抗拒火环</t>
    <phoneticPr fontId="1" type="noConversion"/>
  </si>
  <si>
    <t xml:space="preserve">释放环形火焰，对周围敌人造成130%伤害</t>
    <phoneticPr fontId="1" type="noConversion"/>
  </si>
  <si>
    <t xml:space="preserve">召唤5把飞剑攻击敌人，每把飞剑造成60%伤害</t>
    <phoneticPr fontId="1" type="noConversion"/>
  </si>
  <si>
    <t xml:space="preserve">发射3个火球攻击敌人，每个火球造成60%伤害</t>
    <phoneticPr fontId="1" type="noConversion"/>
  </si>
  <si>
    <t xml:space="preserve">锁定敌人，对其释放灼烧，造成3次伤害，每次60%伤害</t>
    <phoneticPr fontId="1" type="noConversion"/>
  </si>
  <si>
    <t xml:space="preserve">释放火墙对敌人，造成130%伤害</t>
    <phoneticPr fontId="1" type="noConversion"/>
  </si>
  <si>
    <t xml:space="preserve">火焰陷阱</t>
    <phoneticPr fontId="1" type="noConversion"/>
  </si>
  <si>
    <t xml:space="preserve">火焰穿刺</t>
    <phoneticPr fontId="1" type="noConversion"/>
  </si>
  <si>
    <t xml:space="preserve">火焰穿刺对路径中敌人造成110%伤害3次</t>
    <phoneticPr fontId="1" type="noConversion"/>
  </si>
  <si>
    <t xml:space="preserve">十字火斩</t>
    <phoneticPr fontId="1" type="noConversion"/>
  </si>
  <si>
    <t xml:space="preserve">释放火焰十字，对敌人造成140%伤害</t>
    <phoneticPr fontId="1" type="noConversion"/>
  </si>
  <si>
    <t xml:space="preserve">赤炎火海</t>
    <phoneticPr fontId="1" type="noConversion"/>
  </si>
  <si>
    <t xml:space="preserve">召唤巨石从天而降，对周围目标造成150%伤害</t>
    <phoneticPr fontId="1" type="noConversion"/>
  </si>
  <si>
    <t xml:space="preserve">释放大范围火海，对其中所有目标造成70%伤害3次</t>
    <phoneticPr fontId="1" type="noConversion"/>
  </si>
  <si>
    <t xml:space="preserve">释放火焰陷阱，对陷阱中的所有目标造成70%伤害（包括友方）</t>
    <phoneticPr fontId="1" type="noConversion"/>
  </si>
  <si>
    <t xml:space="preserve">燃烧自己，回复50血量</t>
    <phoneticPr fontId="1" type="noConversion"/>
  </si>
  <si>
    <t xml:space="preserve">回复目标100血量</t>
    <phoneticPr fontId="1" type="noConversion"/>
  </si>
  <si>
    <t xml:space="preserve">回复所有队友100血量</t>
    <phoneticPr fontId="1" type="noConversion"/>
  </si>
  <si>
    <t xml:space="preserve">EnumElement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</si>
</sst>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rgb="FF44444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xfId="0"/>
  </cellStyleXfs>
  <cellXfs count="9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85"/>
  <sheetViews>
    <sheetView workbookViewId="0">
      <selection sqref="A1:A1048576"/>
    </sheetView>
  </sheetViews>
  <sheetFormatPr defaultRowHeight="13.5" x14ac:dyDescent="0.15"/>
  <cols>
    <col min="1" max="1" width="9" style="4"/>
    <col min="2" max="2" width="17.625" style="4" customWidth="1"/>
    <col min="3" max="9" width="9" style="4"/>
    <col min="10" max="10" width="17" style="4" customWidth="1"/>
  </cols>
  <sheetData>
    <row r="1" spans="1:12" x14ac:dyDescent="0.15">
      <c r="L1" t="s">
        <v>15</v>
      </c>
    </row>
    <row r="2" spans="1:12" x14ac:dyDescent="0.15">
      <c r="A2" s="4" t="s">
        <v>0</v>
      </c>
      <c r="B2" s="4" t="s">
        <v>119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3" t="s">
        <v>8</v>
      </c>
    </row>
    <row r="3" spans="1:12" x14ac:dyDescent="0.15">
      <c r="A3" s="4" t="s">
        <v>42</v>
      </c>
      <c r="B3" s="4" t="s">
        <v>20</v>
      </c>
      <c r="J3" s="4" t="s">
        <v>25</v>
      </c>
    </row>
    <row r="4" spans="1:12" x14ac:dyDescent="0.15">
      <c r="A4" s="4">
        <v>20001</v>
      </c>
      <c r="B4" s="4">
        <v>2</v>
      </c>
      <c r="E4" s="4">
        <v>1</v>
      </c>
      <c r="J4" s="4" t="str">
        <f>C4&amp;$L$1&amp;D4&amp;$L$1&amp;E4&amp;$L$1&amp;F4&amp;$L$1&amp;G4&amp;$L$1&amp;H4&amp;$L$1&amp;I4</f>
        <v>,,1,,,,</v>
      </c>
    </row>
    <row r="5" spans="1:12" x14ac:dyDescent="0.15">
      <c r="A5" s="4">
        <v>20002</v>
      </c>
      <c r="B5" s="4">
        <v>2</v>
      </c>
      <c r="E5" s="4">
        <v>2</v>
      </c>
      <c r="J5" s="4" t="str">
        <f t="shared" ref="J5:J68" si="0">C5&amp;$L$1&amp;D5&amp;$L$1&amp;E5&amp;$L$1&amp;F5&amp;$L$1&amp;G5&amp;$L$1&amp;H5&amp;$L$1&amp;I5</f>
        <v>,,2,,,,</v>
      </c>
    </row>
    <row r="6" spans="1:12" x14ac:dyDescent="0.15">
      <c r="A6" s="4">
        <v>20003</v>
      </c>
      <c r="B6" s="4">
        <v>2</v>
      </c>
      <c r="C6" s="4">
        <v>1</v>
      </c>
      <c r="E6" s="4">
        <v>2</v>
      </c>
      <c r="H6" s="4">
        <v>1</v>
      </c>
      <c r="I6" s="4">
        <v>1</v>
      </c>
      <c r="J6" s="4" t="str">
        <f t="shared" si="0"/>
        <v>1,,2,,,1,1</v>
      </c>
    </row>
    <row r="7" spans="1:12" x14ac:dyDescent="0.15">
      <c r="A7" s="4">
        <v>20004</v>
      </c>
      <c r="B7" s="4">
        <v>2</v>
      </c>
      <c r="E7" s="4">
        <v>3</v>
      </c>
      <c r="J7" s="4" t="str">
        <f t="shared" si="0"/>
        <v>,,3,,,,</v>
      </c>
    </row>
    <row r="8" spans="1:12" x14ac:dyDescent="0.15">
      <c r="A8" s="4">
        <v>20005</v>
      </c>
      <c r="B8" s="4">
        <v>2</v>
      </c>
      <c r="E8" s="4">
        <v>3</v>
      </c>
      <c r="H8" s="4">
        <v>2</v>
      </c>
      <c r="J8" s="4" t="str">
        <f t="shared" si="0"/>
        <v>,,3,,,2,</v>
      </c>
    </row>
    <row r="9" spans="1:12" x14ac:dyDescent="0.15">
      <c r="A9" s="4">
        <v>20006</v>
      </c>
      <c r="B9" s="4">
        <v>2</v>
      </c>
      <c r="E9" s="4">
        <v>5</v>
      </c>
      <c r="J9" s="4" t="str">
        <f t="shared" si="0"/>
        <v>,,5,,,,</v>
      </c>
    </row>
    <row r="10" spans="1:12" x14ac:dyDescent="0.15">
      <c r="A10" s="4">
        <v>20007</v>
      </c>
      <c r="B10" s="4">
        <v>2</v>
      </c>
      <c r="E10" s="4">
        <v>5</v>
      </c>
      <c r="F10" s="4">
        <v>3</v>
      </c>
      <c r="J10" s="4" t="str">
        <f t="shared" si="0"/>
        <v>,,5,3,,,</v>
      </c>
    </row>
    <row r="11" spans="1:12" x14ac:dyDescent="0.15">
      <c r="A11" s="4">
        <v>20008</v>
      </c>
      <c r="B11" s="4">
        <v>2</v>
      </c>
      <c r="C11" s="4">
        <v>3</v>
      </c>
      <c r="E11" s="4">
        <v>5</v>
      </c>
      <c r="H11" s="4">
        <v>3</v>
      </c>
      <c r="I11" s="4">
        <v>3</v>
      </c>
      <c r="J11" s="4" t="str">
        <f t="shared" si="0"/>
        <v>3,,5,,,3,3</v>
      </c>
    </row>
    <row r="12" spans="1:12" x14ac:dyDescent="0.15">
      <c r="A12" s="4">
        <v>20009</v>
      </c>
      <c r="B12" s="4">
        <v>2</v>
      </c>
      <c r="E12" s="4">
        <v>6</v>
      </c>
      <c r="G12" s="4">
        <v>4</v>
      </c>
      <c r="H12" s="4">
        <v>4</v>
      </c>
      <c r="J12" s="4" t="str">
        <f t="shared" si="0"/>
        <v>,,6,,4,4,</v>
      </c>
    </row>
    <row r="13" spans="1:12" x14ac:dyDescent="0.15">
      <c r="A13" s="4">
        <v>20010</v>
      </c>
      <c r="B13" s="4">
        <v>2</v>
      </c>
      <c r="E13" s="4">
        <v>8</v>
      </c>
      <c r="H13" s="4">
        <v>4</v>
      </c>
      <c r="J13" s="4" t="str">
        <f t="shared" si="0"/>
        <v>,,8,,,4,</v>
      </c>
    </row>
    <row r="14" spans="1:12" x14ac:dyDescent="0.15">
      <c r="A14" s="4">
        <v>20011</v>
      </c>
      <c r="B14" s="4">
        <v>2</v>
      </c>
      <c r="E14" s="4">
        <v>8</v>
      </c>
      <c r="H14" s="4">
        <v>4</v>
      </c>
      <c r="J14" s="4" t="str">
        <f t="shared" si="0"/>
        <v>,,8,,,4,</v>
      </c>
    </row>
    <row r="15" spans="1:12" x14ac:dyDescent="0.15">
      <c r="A15" s="4">
        <v>20012</v>
      </c>
      <c r="B15" s="4">
        <v>2</v>
      </c>
      <c r="D15" s="4">
        <v>6</v>
      </c>
      <c r="E15" s="4">
        <v>10</v>
      </c>
      <c r="J15" s="4" t="str">
        <f t="shared" si="0"/>
        <v>,6,10,,,,</v>
      </c>
    </row>
    <row r="16" spans="1:12" x14ac:dyDescent="0.15">
      <c r="A16" s="4">
        <v>20013</v>
      </c>
      <c r="B16" s="4">
        <v>2</v>
      </c>
      <c r="E16" s="4">
        <v>14</v>
      </c>
      <c r="H16" s="4">
        <v>12</v>
      </c>
      <c r="J16" s="4" t="str">
        <f t="shared" si="0"/>
        <v>,,14,,,12,</v>
      </c>
    </row>
    <row r="17" spans="1:10" x14ac:dyDescent="0.15">
      <c r="A17" s="4">
        <v>20014</v>
      </c>
      <c r="B17" s="4">
        <v>2</v>
      </c>
      <c r="E17" s="4">
        <v>16</v>
      </c>
      <c r="H17" s="4">
        <v>15</v>
      </c>
      <c r="J17" s="4" t="str">
        <f t="shared" si="0"/>
        <v>,,16,,,15,</v>
      </c>
    </row>
    <row r="18" spans="1:10" x14ac:dyDescent="0.15">
      <c r="A18" s="4">
        <v>20015</v>
      </c>
      <c r="B18" s="4">
        <v>0</v>
      </c>
      <c r="C18" s="4">
        <v>1</v>
      </c>
      <c r="J18" s="4" t="str">
        <f t="shared" si="0"/>
        <v>1,,,,,,</v>
      </c>
    </row>
    <row r="19" spans="1:10" x14ac:dyDescent="0.15">
      <c r="A19" s="4">
        <v>20016</v>
      </c>
      <c r="B19" s="4">
        <v>0</v>
      </c>
      <c r="C19" s="4">
        <v>1</v>
      </c>
      <c r="J19" s="4" t="str">
        <f t="shared" si="0"/>
        <v>1,,,,,,</v>
      </c>
    </row>
    <row r="20" spans="1:10" x14ac:dyDescent="0.15">
      <c r="A20" s="4">
        <v>20017</v>
      </c>
      <c r="B20" s="4">
        <v>0</v>
      </c>
      <c r="C20" s="4">
        <v>2</v>
      </c>
      <c r="I20" s="4">
        <v>1</v>
      </c>
      <c r="J20" s="4" t="str">
        <f t="shared" si="0"/>
        <v>2,,,,,,1</v>
      </c>
    </row>
    <row r="21" spans="1:10" x14ac:dyDescent="0.15">
      <c r="A21" s="4">
        <v>20018</v>
      </c>
      <c r="B21" s="4">
        <v>0</v>
      </c>
      <c r="C21" s="4">
        <v>2</v>
      </c>
      <c r="F21" s="4">
        <v>1</v>
      </c>
      <c r="H21" s="4">
        <v>1</v>
      </c>
      <c r="J21" s="4" t="str">
        <f t="shared" si="0"/>
        <v>2,,,1,,1,</v>
      </c>
    </row>
    <row r="22" spans="1:10" x14ac:dyDescent="0.15">
      <c r="A22" s="4">
        <v>20019</v>
      </c>
      <c r="B22" s="4">
        <v>0</v>
      </c>
      <c r="C22" s="4">
        <v>4</v>
      </c>
      <c r="J22" s="4" t="str">
        <f t="shared" si="0"/>
        <v>4,,,,,,</v>
      </c>
    </row>
    <row r="23" spans="1:10" x14ac:dyDescent="0.15">
      <c r="A23" s="4">
        <v>20020</v>
      </c>
      <c r="B23" s="4">
        <v>0</v>
      </c>
      <c r="C23" s="4">
        <v>4</v>
      </c>
      <c r="F23" s="4">
        <v>2</v>
      </c>
      <c r="I23" s="4">
        <v>1</v>
      </c>
      <c r="J23" s="4" t="str">
        <f t="shared" si="0"/>
        <v>4,,,2,,,1</v>
      </c>
    </row>
    <row r="24" spans="1:10" x14ac:dyDescent="0.15">
      <c r="A24" s="4">
        <v>20021</v>
      </c>
      <c r="B24" s="4">
        <v>0</v>
      </c>
      <c r="C24" s="4">
        <v>5</v>
      </c>
      <c r="J24" s="4" t="str">
        <f t="shared" si="0"/>
        <v>5,,,,,,</v>
      </c>
    </row>
    <row r="25" spans="1:10" x14ac:dyDescent="0.15">
      <c r="A25" s="4">
        <v>20022</v>
      </c>
      <c r="B25" s="4">
        <v>0</v>
      </c>
      <c r="C25" s="4">
        <v>8</v>
      </c>
      <c r="J25" s="4" t="str">
        <f t="shared" si="0"/>
        <v>8,,,,,,</v>
      </c>
    </row>
    <row r="26" spans="1:10" x14ac:dyDescent="0.15">
      <c r="A26" s="4">
        <v>20023</v>
      </c>
      <c r="B26" s="4">
        <v>0</v>
      </c>
      <c r="C26" s="4">
        <v>8</v>
      </c>
      <c r="F26" s="4">
        <v>2</v>
      </c>
      <c r="H26" s="4">
        <v>2</v>
      </c>
      <c r="J26" s="4" t="str">
        <f t="shared" si="0"/>
        <v>8,,,2,,2,</v>
      </c>
    </row>
    <row r="27" spans="1:10" x14ac:dyDescent="0.15">
      <c r="A27" s="4">
        <v>20024</v>
      </c>
      <c r="B27" s="4">
        <v>0</v>
      </c>
      <c r="C27" s="4">
        <v>8</v>
      </c>
      <c r="H27" s="4">
        <v>2</v>
      </c>
      <c r="I27" s="4">
        <v>4</v>
      </c>
      <c r="J27" s="4" t="str">
        <f t="shared" si="0"/>
        <v>8,,,,,2,4</v>
      </c>
    </row>
    <row r="28" spans="1:10" x14ac:dyDescent="0.15">
      <c r="A28" s="4">
        <v>20025</v>
      </c>
      <c r="B28" s="4">
        <v>0</v>
      </c>
      <c r="C28" s="4">
        <v>10</v>
      </c>
      <c r="F28" s="4">
        <v>2</v>
      </c>
      <c r="H28" s="4">
        <v>1</v>
      </c>
      <c r="J28" s="4" t="str">
        <f t="shared" si="0"/>
        <v>10,,,2,,1,</v>
      </c>
    </row>
    <row r="29" spans="1:10" x14ac:dyDescent="0.15">
      <c r="A29" s="4">
        <v>20026</v>
      </c>
      <c r="B29" s="4">
        <v>0</v>
      </c>
      <c r="C29" s="4">
        <v>12</v>
      </c>
      <c r="J29" s="4" t="str">
        <f t="shared" si="0"/>
        <v>12,,,,,,</v>
      </c>
    </row>
    <row r="30" spans="1:10" x14ac:dyDescent="0.15">
      <c r="A30" s="4">
        <v>20027</v>
      </c>
      <c r="B30" s="4">
        <v>0</v>
      </c>
      <c r="C30" s="4">
        <v>15</v>
      </c>
      <c r="J30" s="4" t="str">
        <f t="shared" si="0"/>
        <v>15,,,,,,</v>
      </c>
    </row>
    <row r="31" spans="1:10" x14ac:dyDescent="0.15">
      <c r="A31" s="4">
        <v>20028</v>
      </c>
      <c r="B31" s="4">
        <v>0</v>
      </c>
      <c r="C31" s="4">
        <v>16</v>
      </c>
      <c r="F31" s="4">
        <v>8</v>
      </c>
      <c r="H31" s="4">
        <v>4</v>
      </c>
      <c r="J31" s="4" t="str">
        <f t="shared" si="0"/>
        <v>16,,,8,,4,</v>
      </c>
    </row>
    <row r="32" spans="1:10" x14ac:dyDescent="0.15">
      <c r="A32" s="4">
        <v>20029</v>
      </c>
      <c r="B32" s="4">
        <v>0</v>
      </c>
      <c r="C32" s="4">
        <v>18</v>
      </c>
      <c r="F32" s="4">
        <v>8</v>
      </c>
      <c r="I32" s="4">
        <v>4</v>
      </c>
      <c r="J32" s="4" t="str">
        <f t="shared" si="0"/>
        <v>18,,,8,,,4</v>
      </c>
    </row>
    <row r="33" spans="1:10" x14ac:dyDescent="0.15">
      <c r="A33" s="4">
        <v>20030</v>
      </c>
      <c r="B33" s="4">
        <v>0</v>
      </c>
      <c r="C33" s="4">
        <v>22</v>
      </c>
      <c r="F33" s="4">
        <v>12</v>
      </c>
      <c r="H33" s="4">
        <v>6</v>
      </c>
      <c r="J33" s="4" t="str">
        <f t="shared" si="0"/>
        <v>22,,,12,,6,</v>
      </c>
    </row>
    <row r="34" spans="1:10" x14ac:dyDescent="0.15">
      <c r="A34" s="4">
        <v>20031</v>
      </c>
      <c r="B34" s="4">
        <v>0</v>
      </c>
      <c r="C34" s="4">
        <v>25</v>
      </c>
      <c r="F34" s="4">
        <v>12</v>
      </c>
      <c r="H34" s="4">
        <v>5</v>
      </c>
      <c r="J34" s="4" t="str">
        <f t="shared" si="0"/>
        <v>25,,,12,,5,</v>
      </c>
    </row>
    <row r="35" spans="1:10" x14ac:dyDescent="0.15">
      <c r="A35" s="4">
        <v>20032</v>
      </c>
      <c r="B35" s="4">
        <v>1</v>
      </c>
      <c r="D35" s="4">
        <v>1</v>
      </c>
      <c r="J35" s="4" t="str">
        <f t="shared" si="0"/>
        <v>,1,,,,,</v>
      </c>
    </row>
    <row r="36" spans="1:10" x14ac:dyDescent="0.15">
      <c r="A36" s="4">
        <v>20033</v>
      </c>
      <c r="B36" s="4">
        <v>1</v>
      </c>
      <c r="D36" s="4">
        <v>2</v>
      </c>
      <c r="F36" s="4">
        <v>1</v>
      </c>
      <c r="H36" s="4">
        <v>1</v>
      </c>
      <c r="I36" s="4">
        <v>1</v>
      </c>
      <c r="J36" s="4" t="str">
        <f t="shared" si="0"/>
        <v>,2,,1,,1,1</v>
      </c>
    </row>
    <row r="37" spans="1:10" x14ac:dyDescent="0.15">
      <c r="A37" s="4">
        <v>20034</v>
      </c>
      <c r="B37" s="4">
        <v>1</v>
      </c>
      <c r="D37" s="4">
        <v>3</v>
      </c>
      <c r="J37" s="4" t="str">
        <f t="shared" si="0"/>
        <v>,3,,,,,</v>
      </c>
    </row>
    <row r="38" spans="1:10" x14ac:dyDescent="0.15">
      <c r="A38" s="4">
        <v>20035</v>
      </c>
      <c r="B38" s="4">
        <v>1</v>
      </c>
      <c r="D38" s="4">
        <v>3</v>
      </c>
      <c r="F38" s="4">
        <v>1</v>
      </c>
      <c r="H38" s="4">
        <v>1</v>
      </c>
      <c r="J38" s="4" t="str">
        <f t="shared" si="0"/>
        <v>,3,,1,,1,</v>
      </c>
    </row>
    <row r="39" spans="1:10" x14ac:dyDescent="0.15">
      <c r="A39" s="4">
        <v>20036</v>
      </c>
      <c r="B39" s="4">
        <v>1</v>
      </c>
      <c r="D39" s="4">
        <v>5</v>
      </c>
      <c r="F39" s="4">
        <v>2</v>
      </c>
      <c r="H39" s="4">
        <v>2</v>
      </c>
      <c r="J39" s="4" t="str">
        <f t="shared" si="0"/>
        <v>,5,,2,,2,</v>
      </c>
    </row>
    <row r="40" spans="1:10" x14ac:dyDescent="0.15">
      <c r="A40" s="4">
        <v>20037</v>
      </c>
      <c r="B40" s="4">
        <v>1</v>
      </c>
      <c r="D40" s="4">
        <v>5</v>
      </c>
      <c r="F40" s="4">
        <v>3</v>
      </c>
      <c r="H40" s="4">
        <v>3</v>
      </c>
      <c r="I40" s="4">
        <v>3</v>
      </c>
      <c r="J40" s="4" t="str">
        <f t="shared" si="0"/>
        <v>,5,,3,,3,3</v>
      </c>
    </row>
    <row r="41" spans="1:10" x14ac:dyDescent="0.15">
      <c r="A41" s="4">
        <v>20038</v>
      </c>
      <c r="B41" s="4">
        <v>1</v>
      </c>
      <c r="D41" s="4">
        <v>8</v>
      </c>
      <c r="J41" s="4" t="str">
        <f t="shared" si="0"/>
        <v>,8,,,,,</v>
      </c>
    </row>
    <row r="42" spans="1:10" x14ac:dyDescent="0.15">
      <c r="A42" s="4">
        <v>20039</v>
      </c>
      <c r="B42" s="4">
        <v>1</v>
      </c>
      <c r="D42" s="4">
        <v>8</v>
      </c>
      <c r="E42" s="4">
        <v>3</v>
      </c>
      <c r="H42" s="4">
        <v>5</v>
      </c>
      <c r="J42" s="4" t="str">
        <f t="shared" si="0"/>
        <v>,8,3,,,5,</v>
      </c>
    </row>
    <row r="43" spans="1:10" x14ac:dyDescent="0.15">
      <c r="A43" s="4">
        <v>20040</v>
      </c>
      <c r="B43" s="4">
        <v>1</v>
      </c>
      <c r="D43" s="4">
        <v>8</v>
      </c>
      <c r="E43" s="4">
        <v>3</v>
      </c>
      <c r="F43" s="4">
        <v>5</v>
      </c>
      <c r="H43" s="4">
        <v>5</v>
      </c>
      <c r="J43" s="4" t="str">
        <f t="shared" si="0"/>
        <v>,8,3,5,,5,</v>
      </c>
    </row>
    <row r="44" spans="1:10" x14ac:dyDescent="0.15">
      <c r="A44" s="4">
        <v>20041</v>
      </c>
      <c r="B44" s="4">
        <v>1</v>
      </c>
      <c r="D44" s="4">
        <v>12</v>
      </c>
      <c r="J44" s="4" t="str">
        <f t="shared" si="0"/>
        <v>,12,,,,,</v>
      </c>
    </row>
    <row r="45" spans="1:10" x14ac:dyDescent="0.15">
      <c r="A45" s="4">
        <v>20042</v>
      </c>
      <c r="B45" s="4">
        <v>1</v>
      </c>
      <c r="D45" s="4">
        <v>15</v>
      </c>
      <c r="E45" s="4">
        <v>4</v>
      </c>
      <c r="F45" s="4">
        <v>8</v>
      </c>
      <c r="H45" s="4">
        <v>8</v>
      </c>
      <c r="J45" s="4" t="str">
        <f t="shared" si="0"/>
        <v>,15,4,8,,8,</v>
      </c>
    </row>
    <row r="46" spans="1:10" x14ac:dyDescent="0.15">
      <c r="A46" s="4">
        <v>20043</v>
      </c>
      <c r="B46" s="4">
        <v>3</v>
      </c>
      <c r="F46" s="4">
        <v>1</v>
      </c>
      <c r="J46" s="4" t="str">
        <f t="shared" si="0"/>
        <v>,,,1,,,</v>
      </c>
    </row>
    <row r="47" spans="1:10" x14ac:dyDescent="0.15">
      <c r="A47" s="4">
        <v>20044</v>
      </c>
      <c r="B47" s="4">
        <v>3</v>
      </c>
      <c r="F47" s="4">
        <v>1</v>
      </c>
      <c r="J47" s="4" t="str">
        <f t="shared" si="0"/>
        <v>,,,1,,,</v>
      </c>
    </row>
    <row r="48" spans="1:10" x14ac:dyDescent="0.15">
      <c r="A48" s="4">
        <v>20045</v>
      </c>
      <c r="B48" s="4">
        <v>3</v>
      </c>
      <c r="F48" s="4">
        <v>2</v>
      </c>
      <c r="J48" s="4" t="str">
        <f t="shared" si="0"/>
        <v>,,,2,,,</v>
      </c>
    </row>
    <row r="49" spans="1:10" x14ac:dyDescent="0.15">
      <c r="A49" s="4">
        <v>20046</v>
      </c>
      <c r="B49" s="4">
        <v>3</v>
      </c>
      <c r="F49" s="4">
        <v>3</v>
      </c>
      <c r="H49" s="4">
        <v>1</v>
      </c>
      <c r="J49" s="4" t="str">
        <f t="shared" si="0"/>
        <v>,,,3,,1,</v>
      </c>
    </row>
    <row r="50" spans="1:10" x14ac:dyDescent="0.15">
      <c r="A50" s="4">
        <v>20047</v>
      </c>
      <c r="B50" s="4">
        <v>3</v>
      </c>
      <c r="F50" s="4">
        <v>5</v>
      </c>
      <c r="J50" s="4" t="str">
        <f t="shared" si="0"/>
        <v>,,,5,,,</v>
      </c>
    </row>
    <row r="51" spans="1:10" x14ac:dyDescent="0.15">
      <c r="A51" s="4">
        <v>20048</v>
      </c>
      <c r="B51" s="4">
        <v>3</v>
      </c>
      <c r="F51" s="4">
        <v>8</v>
      </c>
      <c r="H51" s="4">
        <v>2</v>
      </c>
      <c r="J51" s="4" t="str">
        <f t="shared" si="0"/>
        <v>,,,8,,2,</v>
      </c>
    </row>
    <row r="52" spans="1:10" x14ac:dyDescent="0.15">
      <c r="A52" s="4">
        <v>20049</v>
      </c>
      <c r="B52" s="4">
        <v>3</v>
      </c>
      <c r="E52" s="4">
        <v>1</v>
      </c>
      <c r="F52" s="4">
        <v>10</v>
      </c>
      <c r="H52" s="4">
        <v>3</v>
      </c>
      <c r="J52" s="4" t="str">
        <f t="shared" si="0"/>
        <v>,,1,10,,3,</v>
      </c>
    </row>
    <row r="53" spans="1:10" x14ac:dyDescent="0.15">
      <c r="A53" s="4">
        <v>20050</v>
      </c>
      <c r="B53" s="4">
        <v>3</v>
      </c>
      <c r="F53" s="4">
        <v>12</v>
      </c>
      <c r="H53" s="4">
        <v>5</v>
      </c>
      <c r="J53" s="4" t="str">
        <f t="shared" si="0"/>
        <v>,,,12,,5,</v>
      </c>
    </row>
    <row r="54" spans="1:10" x14ac:dyDescent="0.15">
      <c r="A54" s="4">
        <v>20051</v>
      </c>
      <c r="B54" s="4">
        <v>3</v>
      </c>
      <c r="F54" s="4">
        <v>15</v>
      </c>
      <c r="H54" s="4">
        <v>8</v>
      </c>
      <c r="J54" s="4" t="str">
        <f t="shared" si="0"/>
        <v>,,,15,,8,</v>
      </c>
    </row>
    <row r="55" spans="1:10" x14ac:dyDescent="0.15">
      <c r="A55" s="4">
        <v>20052</v>
      </c>
      <c r="B55" s="4">
        <v>3</v>
      </c>
      <c r="E55" s="4">
        <v>3</v>
      </c>
      <c r="F55" s="4">
        <v>20</v>
      </c>
      <c r="H55" s="4">
        <v>5</v>
      </c>
      <c r="J55" s="4" t="str">
        <f t="shared" si="0"/>
        <v>,,3,20,,5,</v>
      </c>
    </row>
    <row r="56" spans="1:10" x14ac:dyDescent="0.15">
      <c r="A56" s="4">
        <v>20053</v>
      </c>
      <c r="B56" s="4">
        <v>4</v>
      </c>
      <c r="G56" s="4">
        <v>1</v>
      </c>
      <c r="J56" s="4" t="str">
        <f t="shared" si="0"/>
        <v>,,,,1,,</v>
      </c>
    </row>
    <row r="57" spans="1:10" x14ac:dyDescent="0.15">
      <c r="A57" s="4">
        <v>20054</v>
      </c>
      <c r="B57" s="4">
        <v>4</v>
      </c>
      <c r="G57" s="4">
        <v>1</v>
      </c>
      <c r="J57" s="4" t="str">
        <f t="shared" si="0"/>
        <v>,,,,1,,</v>
      </c>
    </row>
    <row r="58" spans="1:10" x14ac:dyDescent="0.15">
      <c r="A58" s="4">
        <v>20055</v>
      </c>
      <c r="B58" s="4">
        <v>4</v>
      </c>
      <c r="G58" s="4">
        <v>3</v>
      </c>
      <c r="J58" s="4" t="str">
        <f t="shared" si="0"/>
        <v>,,,,3,,</v>
      </c>
    </row>
    <row r="59" spans="1:10" x14ac:dyDescent="0.15">
      <c r="A59" s="4">
        <v>20056</v>
      </c>
      <c r="B59" s="4">
        <v>4</v>
      </c>
      <c r="G59" s="4">
        <v>6</v>
      </c>
      <c r="H59" s="4">
        <v>3</v>
      </c>
      <c r="I59" s="4">
        <v>3</v>
      </c>
      <c r="J59" s="4" t="str">
        <f t="shared" si="0"/>
        <v>,,,,6,3,3</v>
      </c>
    </row>
    <row r="60" spans="1:10" x14ac:dyDescent="0.15">
      <c r="A60" s="4">
        <v>20057</v>
      </c>
      <c r="B60" s="4">
        <v>4</v>
      </c>
      <c r="G60" s="4">
        <v>7</v>
      </c>
      <c r="J60" s="4" t="str">
        <f t="shared" si="0"/>
        <v>,,,,7,,</v>
      </c>
    </row>
    <row r="61" spans="1:10" x14ac:dyDescent="0.15">
      <c r="A61" s="4">
        <v>20058</v>
      </c>
      <c r="B61" s="4">
        <v>4</v>
      </c>
      <c r="F61" s="4">
        <v>1</v>
      </c>
      <c r="G61" s="4">
        <v>7</v>
      </c>
      <c r="H61" s="4">
        <v>3</v>
      </c>
      <c r="J61" s="4" t="str">
        <f t="shared" si="0"/>
        <v>,,,1,7,3,</v>
      </c>
    </row>
    <row r="62" spans="1:10" x14ac:dyDescent="0.15">
      <c r="A62" s="4">
        <v>20059</v>
      </c>
      <c r="B62" s="4">
        <v>4</v>
      </c>
      <c r="G62" s="4">
        <v>8</v>
      </c>
      <c r="H62" s="4">
        <v>4</v>
      </c>
      <c r="J62" s="4" t="str">
        <f t="shared" si="0"/>
        <v>,,,,8,4,</v>
      </c>
    </row>
    <row r="63" spans="1:10" x14ac:dyDescent="0.15">
      <c r="A63" s="4">
        <v>20060</v>
      </c>
      <c r="B63" s="4">
        <v>4</v>
      </c>
      <c r="G63" s="4">
        <v>9</v>
      </c>
      <c r="J63" s="4" t="str">
        <f t="shared" si="0"/>
        <v>,,,,9,,</v>
      </c>
    </row>
    <row r="64" spans="1:10" x14ac:dyDescent="0.15">
      <c r="A64" s="4">
        <v>20061</v>
      </c>
      <c r="B64" s="4">
        <v>4</v>
      </c>
      <c r="F64" s="4">
        <v>4</v>
      </c>
      <c r="G64" s="4">
        <v>10</v>
      </c>
      <c r="H64" s="4">
        <v>4</v>
      </c>
      <c r="I64" s="4">
        <v>4</v>
      </c>
      <c r="J64" s="4" t="str">
        <f t="shared" si="0"/>
        <v>,,,4,10,4,4</v>
      </c>
    </row>
    <row r="65" spans="1:10" x14ac:dyDescent="0.15">
      <c r="A65" s="4">
        <v>20062</v>
      </c>
      <c r="B65" s="4">
        <v>4</v>
      </c>
      <c r="F65" s="4">
        <v>4</v>
      </c>
      <c r="G65" s="4">
        <v>12</v>
      </c>
      <c r="H65" s="4">
        <v>8</v>
      </c>
      <c r="J65" s="4" t="str">
        <f t="shared" si="0"/>
        <v>,,,4,12,8,</v>
      </c>
    </row>
    <row r="66" spans="1:10" x14ac:dyDescent="0.15">
      <c r="A66" s="4">
        <v>20063</v>
      </c>
      <c r="B66" s="4">
        <v>4</v>
      </c>
      <c r="G66" s="4">
        <v>15</v>
      </c>
      <c r="H66" s="4">
        <v>10</v>
      </c>
      <c r="I66" s="4">
        <v>10</v>
      </c>
      <c r="J66" s="4" t="str">
        <f t="shared" si="0"/>
        <v>,,,,15,10,10</v>
      </c>
    </row>
    <row r="67" spans="1:10" x14ac:dyDescent="0.15">
      <c r="A67" s="4">
        <v>20064</v>
      </c>
      <c r="B67" s="4">
        <v>4</v>
      </c>
      <c r="F67" s="4">
        <v>6</v>
      </c>
      <c r="G67" s="4">
        <v>18</v>
      </c>
      <c r="H67" s="4">
        <v>6</v>
      </c>
      <c r="I67" s="4">
        <v>6</v>
      </c>
      <c r="J67" s="4" t="str">
        <f t="shared" si="0"/>
        <v>,,,6,18,6,6</v>
      </c>
    </row>
    <row r="68" spans="1:10" x14ac:dyDescent="0.15">
      <c r="A68" s="4">
        <v>20065</v>
      </c>
      <c r="B68" s="4">
        <v>5</v>
      </c>
      <c r="H68" s="4">
        <v>4</v>
      </c>
      <c r="J68" s="4" t="str">
        <f t="shared" si="0"/>
        <v>,,,,,4,</v>
      </c>
    </row>
    <row r="69" spans="1:10" x14ac:dyDescent="0.15">
      <c r="A69" s="4">
        <v>20066</v>
      </c>
      <c r="B69" s="4">
        <v>5</v>
      </c>
      <c r="C69" s="4">
        <v>1</v>
      </c>
      <c r="D69" s="4">
        <v>1</v>
      </c>
      <c r="E69" s="4">
        <v>1</v>
      </c>
      <c r="F69" s="4">
        <v>1</v>
      </c>
      <c r="H69" s="4">
        <v>6</v>
      </c>
      <c r="J69" s="4" t="str">
        <f t="shared" ref="J69:J85" si="1">C69&amp;$L$1&amp;D69&amp;$L$1&amp;E69&amp;$L$1&amp;F69&amp;$L$1&amp;G69&amp;$L$1&amp;H69&amp;$L$1&amp;I69</f>
        <v>1,1,1,1,,6,</v>
      </c>
    </row>
    <row r="70" spans="1:10" x14ac:dyDescent="0.15">
      <c r="A70" s="4">
        <v>20067</v>
      </c>
      <c r="B70" s="4">
        <v>5</v>
      </c>
      <c r="D70" s="4">
        <v>3</v>
      </c>
      <c r="E70" s="4">
        <v>3</v>
      </c>
      <c r="F70" s="4">
        <v>5</v>
      </c>
      <c r="H70" s="4">
        <v>12</v>
      </c>
      <c r="J70" s="4" t="str">
        <f t="shared" si="1"/>
        <v>,3,3,5,,12,</v>
      </c>
    </row>
    <row r="71" spans="1:10" x14ac:dyDescent="0.15">
      <c r="A71" s="4">
        <v>20068</v>
      </c>
      <c r="B71" s="4">
        <v>6</v>
      </c>
      <c r="C71" s="4">
        <v>1</v>
      </c>
      <c r="D71" s="4">
        <v>1</v>
      </c>
      <c r="E71" s="4">
        <v>1</v>
      </c>
      <c r="F71" s="4">
        <v>1</v>
      </c>
      <c r="H71" s="4">
        <v>1</v>
      </c>
      <c r="I71" s="4">
        <v>3</v>
      </c>
      <c r="J71" s="4" t="str">
        <f t="shared" si="1"/>
        <v>1,1,1,1,,1,3</v>
      </c>
    </row>
    <row r="72" spans="1:10" x14ac:dyDescent="0.15">
      <c r="A72" s="4">
        <v>20069</v>
      </c>
      <c r="B72" s="4">
        <v>6</v>
      </c>
      <c r="E72" s="4">
        <v>3</v>
      </c>
      <c r="F72" s="4">
        <v>3</v>
      </c>
      <c r="H72" s="4">
        <v>3</v>
      </c>
      <c r="I72" s="4">
        <v>5</v>
      </c>
      <c r="J72" s="4" t="str">
        <f t="shared" si="1"/>
        <v>,,3,3,,3,5</v>
      </c>
    </row>
    <row r="73" spans="1:10" x14ac:dyDescent="0.15">
      <c r="A73" s="4">
        <v>20070</v>
      </c>
      <c r="B73" s="4">
        <v>6</v>
      </c>
      <c r="E73" s="4">
        <v>2</v>
      </c>
      <c r="F73" s="4">
        <v>2</v>
      </c>
      <c r="H73" s="4">
        <v>2</v>
      </c>
      <c r="I73" s="4">
        <v>6</v>
      </c>
      <c r="J73" s="4" t="str">
        <f t="shared" si="1"/>
        <v>,,2,2,,2,6</v>
      </c>
    </row>
    <row r="74" spans="1:10" x14ac:dyDescent="0.15">
      <c r="A74" s="4">
        <v>20071</v>
      </c>
      <c r="B74" s="4">
        <v>6</v>
      </c>
      <c r="I74" s="4">
        <v>7</v>
      </c>
      <c r="J74" s="4" t="str">
        <f t="shared" si="1"/>
        <v>,,,,,,7</v>
      </c>
    </row>
    <row r="75" spans="1:10" x14ac:dyDescent="0.15">
      <c r="A75" s="4">
        <v>20072</v>
      </c>
      <c r="B75" s="4">
        <v>6</v>
      </c>
      <c r="C75" s="4">
        <v>4</v>
      </c>
      <c r="D75" s="4">
        <v>4</v>
      </c>
      <c r="E75" s="4">
        <v>4</v>
      </c>
      <c r="F75" s="4">
        <v>4</v>
      </c>
      <c r="H75" s="4">
        <v>4</v>
      </c>
      <c r="I75" s="4">
        <v>8</v>
      </c>
      <c r="J75" s="4" t="str">
        <f t="shared" si="1"/>
        <v>4,4,4,4,,4,8</v>
      </c>
    </row>
    <row r="76" spans="1:10" x14ac:dyDescent="0.15">
      <c r="A76" s="4">
        <v>20073</v>
      </c>
      <c r="B76" s="4">
        <v>6</v>
      </c>
      <c r="G76" s="4">
        <v>4</v>
      </c>
      <c r="H76" s="4">
        <v>12</v>
      </c>
      <c r="I76" s="4">
        <v>20</v>
      </c>
      <c r="J76" s="4" t="str">
        <f t="shared" si="1"/>
        <v>,,,,4,12,20</v>
      </c>
    </row>
    <row r="77" spans="1:10" x14ac:dyDescent="0.15">
      <c r="A77" s="4">
        <v>20074</v>
      </c>
      <c r="B77" s="4">
        <v>5</v>
      </c>
      <c r="E77" s="4">
        <v>2</v>
      </c>
      <c r="H77" s="4">
        <v>19</v>
      </c>
      <c r="I77" s="4">
        <v>12</v>
      </c>
      <c r="J77" s="4" t="str">
        <f t="shared" si="1"/>
        <v>,,2,,,19,12</v>
      </c>
    </row>
    <row r="78" spans="1:10" x14ac:dyDescent="0.15">
      <c r="A78" s="4">
        <v>20075</v>
      </c>
      <c r="B78" s="4">
        <v>6</v>
      </c>
      <c r="C78" s="4">
        <v>18</v>
      </c>
      <c r="I78" s="4">
        <v>24</v>
      </c>
      <c r="J78" s="4" t="str">
        <f t="shared" si="1"/>
        <v>18,,,,,,24</v>
      </c>
    </row>
    <row r="79" spans="1:10" x14ac:dyDescent="0.15">
      <c r="A79" s="4">
        <v>20076</v>
      </c>
      <c r="B79" s="4">
        <v>6</v>
      </c>
      <c r="C79" s="4">
        <v>3</v>
      </c>
      <c r="F79" s="4">
        <v>3</v>
      </c>
      <c r="H79" s="4">
        <v>12</v>
      </c>
      <c r="I79" s="4">
        <v>21</v>
      </c>
      <c r="J79" s="4" t="str">
        <f t="shared" si="1"/>
        <v>3,,,3,,12,21</v>
      </c>
    </row>
    <row r="80" spans="1:10" x14ac:dyDescent="0.15">
      <c r="A80" s="4">
        <v>20077</v>
      </c>
      <c r="B80" s="4">
        <v>3</v>
      </c>
      <c r="E80" s="4">
        <v>3</v>
      </c>
      <c r="F80" s="4">
        <v>12</v>
      </c>
      <c r="H80" s="4">
        <v>8</v>
      </c>
      <c r="J80" s="4" t="str">
        <f t="shared" si="1"/>
        <v>,,3,12,,8,</v>
      </c>
    </row>
    <row r="81" spans="1:10" x14ac:dyDescent="0.15">
      <c r="A81" s="4">
        <v>20078</v>
      </c>
      <c r="B81" s="4">
        <v>4</v>
      </c>
      <c r="C81" s="4">
        <v>12</v>
      </c>
      <c r="G81" s="4">
        <v>21</v>
      </c>
      <c r="J81" s="4" t="str">
        <f t="shared" si="1"/>
        <v>12,,,,21,,</v>
      </c>
    </row>
    <row r="82" spans="1:10" x14ac:dyDescent="0.15">
      <c r="A82" s="4">
        <v>20079</v>
      </c>
      <c r="B82" s="4">
        <v>4</v>
      </c>
      <c r="D82" s="4">
        <v>8</v>
      </c>
      <c r="F82" s="4">
        <v>8</v>
      </c>
      <c r="G82" s="4">
        <v>21</v>
      </c>
      <c r="H82" s="4">
        <v>15</v>
      </c>
      <c r="J82" s="4" t="str">
        <f t="shared" si="1"/>
        <v>,8,,8,21,15,</v>
      </c>
    </row>
    <row r="83" spans="1:10" x14ac:dyDescent="0.15">
      <c r="A83" s="4">
        <v>20080</v>
      </c>
      <c r="B83" s="4">
        <v>5</v>
      </c>
      <c r="E83" s="4">
        <v>5</v>
      </c>
      <c r="F83" s="4">
        <v>5</v>
      </c>
      <c r="G83" s="4">
        <v>5</v>
      </c>
      <c r="H83" s="4">
        <v>12</v>
      </c>
      <c r="J83" s="4" t="str">
        <f t="shared" si="1"/>
        <v>,,5,5,5,12,</v>
      </c>
    </row>
    <row r="84" spans="1:10" x14ac:dyDescent="0.15">
      <c r="A84" s="4">
        <v>20081</v>
      </c>
      <c r="B84" s="4">
        <v>5</v>
      </c>
      <c r="D84" s="4">
        <v>12</v>
      </c>
      <c r="F84" s="4">
        <v>5</v>
      </c>
      <c r="G84" s="4">
        <v>8</v>
      </c>
      <c r="H84" s="4">
        <v>21</v>
      </c>
      <c r="I84" s="4">
        <v>12</v>
      </c>
      <c r="J84" s="4" t="str">
        <f t="shared" si="1"/>
        <v>,12,,5,8,21,12</v>
      </c>
    </row>
    <row r="85" spans="1:10" x14ac:dyDescent="0.15">
      <c r="A85" s="4">
        <v>20082</v>
      </c>
      <c r="B85" s="4">
        <v>6</v>
      </c>
      <c r="C85" s="4">
        <v>1</v>
      </c>
      <c r="J85" s="4" t="str">
        <f t="shared" si="1"/>
        <v>1,,,,,,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workbookViewId="0">
      <selection activeCell="C15" sqref="A1:C15"/>
    </sheetView>
  </sheetViews>
  <sheetFormatPr defaultRowHeight="13.5" x14ac:dyDescent="0.15"/>
  <cols>
    <col min="1" max="1" width="11.625" style="6" customWidth="1"/>
    <col min="2" max="2" width="9" style="4"/>
  </cols>
  <sheetData>
    <row r="1" spans="1:2" x14ac:dyDescent="0.15">
      <c r="A1" s="6" t="s">
        <v>450</v>
      </c>
    </row>
    <row r="2" spans="1:2" x14ac:dyDescent="0.15">
      <c r="A2" s="7" t="s">
        <v>318</v>
      </c>
      <c r="B2" s="4">
        <v>0</v>
      </c>
    </row>
    <row r="3" spans="1:2" x14ac:dyDescent="0.15">
      <c r="A3" s="7" t="s">
        <v>299</v>
      </c>
      <c r="B3" s="4">
        <v>1</v>
      </c>
    </row>
    <row r="4" spans="1:2" x14ac:dyDescent="0.15">
      <c r="A4" s="7" t="s">
        <v>307</v>
      </c>
      <c r="B4" s="4">
        <v>2</v>
      </c>
    </row>
    <row r="5" spans="1:2" x14ac:dyDescent="0.15">
      <c r="A5" s="7" t="s">
        <v>319</v>
      </c>
      <c r="B5" s="4">
        <v>3</v>
      </c>
    </row>
    <row r="6" spans="1:2" x14ac:dyDescent="0.15">
      <c r="A6" s="7" t="s">
        <v>320</v>
      </c>
      <c r="B6" s="4">
        <v>4</v>
      </c>
    </row>
    <row r="7" spans="1:2" x14ac:dyDescent="0.15">
      <c r="A7" s="7" t="s">
        <v>321</v>
      </c>
      <c r="B7" s="4">
        <v>5</v>
      </c>
    </row>
    <row r="8" spans="1:2" x14ac:dyDescent="0.15">
      <c r="A8" s="7" t="s">
        <v>322</v>
      </c>
      <c r="B8" s="4">
        <v>6</v>
      </c>
    </row>
    <row r="9" spans="1:2" x14ac:dyDescent="0.15">
      <c r="A9" s="7" t="s">
        <v>277</v>
      </c>
      <c r="B9" s="4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workbookViewId="0">
      <selection sqref="A1:A1048576"/>
    </sheetView>
  </sheetViews>
  <sheetFormatPr defaultRowHeight="13.5" x14ac:dyDescent="0.15"/>
  <cols>
    <col min="1" max="1" width="9" style="4"/>
    <col min="2" max="2" width="22.125" style="4" customWidth="1"/>
  </cols>
  <sheetData>
    <row r="1" spans="1:9" x14ac:dyDescent="0.15">
      <c r="I1" t="s">
        <v>132</v>
      </c>
    </row>
    <row r="2" spans="1:9" x14ac:dyDescent="0.15">
      <c r="A2" s="4" t="s">
        <v>0</v>
      </c>
      <c r="B2" s="3" t="s">
        <v>124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</row>
    <row r="3" spans="1:9" x14ac:dyDescent="0.15">
      <c r="A3" s="4" t="s">
        <v>42</v>
      </c>
      <c r="B3" s="4" t="s">
        <v>25</v>
      </c>
    </row>
    <row r="4" spans="1:9" x14ac:dyDescent="0.15">
      <c r="A4" s="4">
        <v>50001</v>
      </c>
      <c r="B4" s="4" t="str">
        <f>INDEX(Sheet1!$B$2:$B$9,MATCH(C4,Sheet1!$A$2:$A$9,0))&amp;$I$1&amp;INDEX(Sheet1!$B$2:$B$9,MATCH(D4,Sheet1!$A$2:$A$9,0))&amp;$I$1&amp;INDEX(Sheet1!$B$2:$B$9,MATCH(E4,Sheet1!$A$2:$A$9,0))&amp;$I$1&amp;INDEX(Sheet1!$B$2:$B$9,MATCH(F4,Sheet1!$A$2:$A$9,0))&amp;$I$1&amp;INDEX(Sheet1!$B$2:$B$9,MATCH(G4,Sheet1!$A$2:$A$9,0))&amp;$I$1&amp;INDEX(Sheet1!$B$2:$B$9,MATCH(H4,Sheet1!$A$2:$A$9,0))&amp;$I$1&amp;INDEX(Sheet1!$B$2:$B$9,MATCH(I4,Sheet1!$A$2:$A$9,0))</f>
        <v>7,7,0,0,3,5,6</v>
      </c>
      <c r="C4" s="7" t="s">
        <v>128</v>
      </c>
      <c r="D4" s="7" t="s">
        <v>128</v>
      </c>
      <c r="E4" t="s">
        <v>125</v>
      </c>
      <c r="F4" t="s">
        <v>125</v>
      </c>
      <c r="G4" t="s">
        <v>127</v>
      </c>
      <c r="H4" t="s">
        <v>131</v>
      </c>
      <c r="I4" s="7" t="s">
        <v>7</v>
      </c>
    </row>
    <row r="5" spans="1:9" x14ac:dyDescent="0.15">
      <c r="A5" s="4">
        <v>50002</v>
      </c>
      <c r="B5" s="4" t="str">
        <f>INDEX(Sheet1!$B$2:$B$9,MATCH(C5,Sheet1!$A$2:$A$9,0))&amp;$I$1&amp;INDEX(Sheet1!$B$2:$B$9,MATCH(D5,Sheet1!$A$2:$A$9,0))&amp;$I$1&amp;INDEX(Sheet1!$B$2:$B$9,MATCH(E5,Sheet1!$A$2:$A$9,0))&amp;$I$1&amp;INDEX(Sheet1!$B$2:$B$9,MATCH(F5,Sheet1!$A$2:$A$9,0))&amp;$I$1&amp;INDEX(Sheet1!$B$2:$B$9,MATCH(G5,Sheet1!$A$2:$A$9,0))&amp;$I$1&amp;INDEX(Sheet1!$B$2:$B$9,MATCH(H5,Sheet1!$A$2:$A$9,0))&amp;$I$1&amp;INDEX(Sheet1!$B$2:$B$9,MATCH(I5,Sheet1!$A$2:$A$9,0))</f>
        <v>7,7,1,1,2,5,6</v>
      </c>
      <c r="C5" s="7" t="s">
        <v>128</v>
      </c>
      <c r="D5" s="7" t="s">
        <v>128</v>
      </c>
      <c r="E5" t="s">
        <v>126</v>
      </c>
      <c r="F5" t="s">
        <v>126</v>
      </c>
      <c r="G5" t="s">
        <v>129</v>
      </c>
      <c r="H5" t="s">
        <v>131</v>
      </c>
      <c r="I5" s="7" t="s">
        <v>7</v>
      </c>
    </row>
    <row r="6" spans="1:9" x14ac:dyDescent="0.15">
      <c r="A6" s="4">
        <v>50003</v>
      </c>
      <c r="B6" s="4" t="str">
        <f>INDEX(Sheet1!$B$2:$B$9,MATCH(C6,Sheet1!$A$2:$A$9,0))&amp;$I$1&amp;INDEX(Sheet1!$B$2:$B$9,MATCH(D6,Sheet1!$A$2:$A$9,0))&amp;$I$1&amp;INDEX(Sheet1!$B$2:$B$9,MATCH(E6,Sheet1!$A$2:$A$9,0))&amp;$I$1&amp;INDEX(Sheet1!$B$2:$B$9,MATCH(F6,Sheet1!$A$2:$A$9,0))&amp;$I$1&amp;INDEX(Sheet1!$B$2:$B$9,MATCH(G6,Sheet1!$A$2:$A$9,0))&amp;$I$1&amp;INDEX(Sheet1!$B$2:$B$9,MATCH(H6,Sheet1!$A$2:$A$9,0))&amp;$I$1&amp;INDEX(Sheet1!$B$2:$B$9,MATCH(I6,Sheet1!$A$2:$A$9,0))</f>
        <v>7,7,2,2,1,5,6</v>
      </c>
      <c r="C6" s="7" t="s">
        <v>128</v>
      </c>
      <c r="D6" s="7" t="s">
        <v>128</v>
      </c>
      <c r="E6" t="s">
        <v>129</v>
      </c>
      <c r="F6" t="s">
        <v>129</v>
      </c>
      <c r="G6" t="s">
        <v>126</v>
      </c>
      <c r="H6" t="s">
        <v>131</v>
      </c>
      <c r="I6" s="7" t="s">
        <v>7</v>
      </c>
    </row>
    <row r="7" spans="1:9" x14ac:dyDescent="0.15">
      <c r="A7" s="4">
        <v>50004</v>
      </c>
      <c r="B7" s="4" t="str">
        <f>INDEX(Sheet1!$B$2:$B$9,MATCH(C7,Sheet1!$A$2:$A$9,0))&amp;$I$1&amp;INDEX(Sheet1!$B$2:$B$9,MATCH(D7,Sheet1!$A$2:$A$9,0))&amp;$I$1&amp;INDEX(Sheet1!$B$2:$B$9,MATCH(E7,Sheet1!$A$2:$A$9,0))&amp;$I$1&amp;INDEX(Sheet1!$B$2:$B$9,MATCH(F7,Sheet1!$A$2:$A$9,0))&amp;$I$1&amp;INDEX(Sheet1!$B$2:$B$9,MATCH(G7,Sheet1!$A$2:$A$9,0))&amp;$I$1&amp;INDEX(Sheet1!$B$2:$B$9,MATCH(H7,Sheet1!$A$2:$A$9,0))&amp;$I$1&amp;INDEX(Sheet1!$B$2:$B$9,MATCH(I7,Sheet1!$A$2:$A$9,0))</f>
        <v>7,7,3,3,1,5,6</v>
      </c>
      <c r="C7" s="7" t="s">
        <v>128</v>
      </c>
      <c r="D7" s="7" t="s">
        <v>128</v>
      </c>
      <c r="E7" t="s">
        <v>127</v>
      </c>
      <c r="F7" t="s">
        <v>127</v>
      </c>
      <c r="G7" t="s">
        <v>126</v>
      </c>
      <c r="H7" t="s">
        <v>131</v>
      </c>
      <c r="I7" s="7" t="s">
        <v>7</v>
      </c>
    </row>
    <row r="8" spans="1:9" x14ac:dyDescent="0.15">
      <c r="A8" s="4">
        <v>50005</v>
      </c>
      <c r="B8" s="4" t="str">
        <f>INDEX(Sheet1!$B$2:$B$9,MATCH(C8,Sheet1!$A$2:$A$9,0))&amp;$I$1&amp;INDEX(Sheet1!$B$2:$B$9,MATCH(D8,Sheet1!$A$2:$A$9,0))&amp;$I$1&amp;INDEX(Sheet1!$B$2:$B$9,MATCH(E8,Sheet1!$A$2:$A$9,0))&amp;$I$1&amp;INDEX(Sheet1!$B$2:$B$9,MATCH(F8,Sheet1!$A$2:$A$9,0))&amp;$I$1&amp;INDEX(Sheet1!$B$2:$B$9,MATCH(G8,Sheet1!$A$2:$A$9,0))&amp;$I$1&amp;INDEX(Sheet1!$B$2:$B$9,MATCH(H8,Sheet1!$A$2:$A$9,0))&amp;$I$1&amp;INDEX(Sheet1!$B$2:$B$9,MATCH(I8,Sheet1!$A$2:$A$9,0))</f>
        <v>7,7,4,4,1,5,6</v>
      </c>
      <c r="C8" s="7" t="s">
        <v>128</v>
      </c>
      <c r="D8" s="7" t="s">
        <v>128</v>
      </c>
      <c r="E8" t="s">
        <v>130</v>
      </c>
      <c r="F8" t="s">
        <v>130</v>
      </c>
      <c r="G8" t="s">
        <v>126</v>
      </c>
      <c r="H8" t="s">
        <v>131</v>
      </c>
      <c r="I8" s="7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04"/>
  <sheetViews>
    <sheetView topLeftCell="A79" workbookViewId="0">
      <selection activeCell="D110" sqref="D110"/>
    </sheetView>
  </sheetViews>
  <sheetFormatPr defaultRowHeight="13.5" x14ac:dyDescent="0.15"/>
  <cols>
    <col min="1" max="1" width="7.125" style="4" customWidth="1"/>
    <col min="2" max="2" width="13.125" style="4" customWidth="1"/>
    <col min="3" max="3" width="9" style="4"/>
    <col min="4" max="4" width="47" style="4" customWidth="1"/>
    <col min="5" max="5" width="9" style="4"/>
    <col min="6" max="6" width="20.375" style="3" customWidth="1"/>
    <col min="7" max="7" width="12.75" style="4" customWidth="1"/>
    <col min="8" max="8" width="9" style="4"/>
    <col min="9" max="9" width="10.75" style="4" customWidth="1"/>
    <col min="10" max="10" width="12.125" style="4" customWidth="1"/>
    <col min="11" max="11" width="13.625" style="4" customWidth="1"/>
    <col min="12" max="12" width="10.75" style="4" customWidth="1"/>
    <col min="13" max="14" width="9" style="4"/>
    <col min="15" max="17" width="12.875" style="4" customWidth="1"/>
    <col min="18" max="22" width="12.5" style="4" customWidth="1"/>
    <col min="23" max="24" width="9" style="4"/>
    <col min="25" max="25" width="12.625" style="4" customWidth="1"/>
    <col min="26" max="26" width="17.375" style="4" customWidth="1"/>
    <col min="27" max="27" width="18.75" style="5" customWidth="1"/>
    <col min="28" max="28" width="12" style="4" customWidth="1"/>
    <col min="29" max="29" width="9" style="4"/>
    <col min="30" max="30" width="11.625" style="4" customWidth="1"/>
    <col min="31" max="31" width="18.5" style="4" customWidth="1"/>
    <col min="32" max="32" width="14.375" style="4" customWidth="1"/>
    <col min="33" max="33" width="18.5" style="4" customWidth="1"/>
    <col min="34" max="34" width="21.5" customWidth="1"/>
  </cols>
  <sheetData>
    <row r="1" spans="1:34" x14ac:dyDescent="0.15">
      <c r="W1" s="4" t="s">
        <v>283</v>
      </c>
      <c r="Y1" s="4" t="s">
        <v>288</v>
      </c>
      <c r="Z1" s="4" t="s">
        <v>291</v>
      </c>
      <c r="AA1" s="5" t="s">
        <v>344</v>
      </c>
      <c r="AH1" t="s">
        <v>358</v>
      </c>
    </row>
    <row r="2" spans="1:34" x14ac:dyDescent="0.15">
      <c r="A2" s="4" t="s">
        <v>0</v>
      </c>
      <c r="B2" s="4" t="s">
        <v>16</v>
      </c>
      <c r="C2" s="4" t="s">
        <v>121</v>
      </c>
      <c r="D2" s="4" t="s">
        <v>17</v>
      </c>
      <c r="E2" s="4" t="s">
        <v>119</v>
      </c>
      <c r="F2" s="3" t="s">
        <v>8</v>
      </c>
      <c r="G2" s="4" t="s">
        <v>18</v>
      </c>
      <c r="H2" s="4" t="s">
        <v>19</v>
      </c>
      <c r="I2" s="4" t="s">
        <v>248</v>
      </c>
      <c r="J2" s="4" t="s">
        <v>429</v>
      </c>
      <c r="K2" s="4" t="s">
        <v>428</v>
      </c>
      <c r="L2" s="4" t="s">
        <v>425</v>
      </c>
      <c r="M2" s="4" t="s">
        <v>341</v>
      </c>
      <c r="N2" s="4" t="s">
        <v>339</v>
      </c>
      <c r="O2" s="4" t="s">
        <v>331</v>
      </c>
      <c r="P2" s="4" t="s">
        <v>334</v>
      </c>
      <c r="Q2" s="4" t="s">
        <v>340</v>
      </c>
      <c r="R2" s="4" t="s">
        <v>256</v>
      </c>
      <c r="S2" s="4" t="s">
        <v>335</v>
      </c>
      <c r="T2" s="4" t="s">
        <v>332</v>
      </c>
      <c r="U2" s="4" t="s">
        <v>336</v>
      </c>
      <c r="V2" s="4" t="s">
        <v>263</v>
      </c>
      <c r="W2" s="4" t="s">
        <v>259</v>
      </c>
      <c r="X2" s="4" t="s">
        <v>242</v>
      </c>
      <c r="Y2" s="4" t="s">
        <v>345</v>
      </c>
      <c r="Z2" s="4" t="s">
        <v>290</v>
      </c>
      <c r="AA2" s="5" t="s">
        <v>284</v>
      </c>
      <c r="AB2" s="4" t="s">
        <v>346</v>
      </c>
      <c r="AC2" s="4" t="s">
        <v>243</v>
      </c>
      <c r="AD2" s="4" t="s">
        <v>244</v>
      </c>
      <c r="AE2" s="4" t="s">
        <v>343</v>
      </c>
      <c r="AF2" s="4" t="s">
        <v>376</v>
      </c>
      <c r="AG2" s="4" t="s">
        <v>387</v>
      </c>
      <c r="AH2" s="4" t="s">
        <v>356</v>
      </c>
    </row>
    <row r="3" spans="1:34" x14ac:dyDescent="0.15">
      <c r="A3" s="4" t="s">
        <v>20</v>
      </c>
      <c r="B3" s="4" t="s">
        <v>21</v>
      </c>
      <c r="C3" s="4" t="s">
        <v>122</v>
      </c>
      <c r="D3" s="4" t="s">
        <v>22</v>
      </c>
      <c r="E3" s="4" t="s">
        <v>20</v>
      </c>
      <c r="F3" s="3" t="s">
        <v>123</v>
      </c>
      <c r="G3" s="4" t="s">
        <v>23</v>
      </c>
      <c r="H3" s="4" t="s">
        <v>24</v>
      </c>
      <c r="I3" s="4" t="s">
        <v>249</v>
      </c>
      <c r="J3" s="4" t="s">
        <v>20</v>
      </c>
      <c r="K3" s="4" t="s">
        <v>430</v>
      </c>
      <c r="L3" s="4" t="s">
        <v>118</v>
      </c>
      <c r="M3" s="4" t="s">
        <v>20</v>
      </c>
      <c r="N3" s="4" t="s">
        <v>20</v>
      </c>
      <c r="O3" s="4" t="s">
        <v>21</v>
      </c>
      <c r="P3" s="4" t="s">
        <v>333</v>
      </c>
      <c r="Q3" s="4" t="s">
        <v>23</v>
      </c>
      <c r="R3" s="4" t="s">
        <v>250</v>
      </c>
      <c r="S3" s="4" t="s">
        <v>330</v>
      </c>
      <c r="T3" s="4" t="s">
        <v>250</v>
      </c>
      <c r="U3" s="4" t="s">
        <v>333</v>
      </c>
      <c r="V3" s="4" t="s">
        <v>20</v>
      </c>
      <c r="W3" s="4" t="s">
        <v>260</v>
      </c>
      <c r="X3" s="4" t="s">
        <v>246</v>
      </c>
      <c r="Y3" s="4" t="s">
        <v>289</v>
      </c>
      <c r="Z3" s="4" t="s">
        <v>241</v>
      </c>
      <c r="AA3" s="5" t="s">
        <v>239</v>
      </c>
      <c r="AB3" s="4" t="s">
        <v>241</v>
      </c>
      <c r="AC3" s="4" t="s">
        <v>20</v>
      </c>
      <c r="AD3" s="4" t="s">
        <v>25</v>
      </c>
      <c r="AE3" s="4" t="s">
        <v>241</v>
      </c>
      <c r="AF3" s="4" t="s">
        <v>24</v>
      </c>
      <c r="AH3" s="4" t="s">
        <v>239</v>
      </c>
    </row>
    <row r="4" spans="1:34" x14ac:dyDescent="0.15">
      <c r="A4" s="4">
        <v>20001</v>
      </c>
      <c r="B4" s="4" t="s">
        <v>146</v>
      </c>
      <c r="C4" s="4">
        <v>1</v>
      </c>
      <c r="D4" s="4" t="s">
        <v>45</v>
      </c>
      <c r="E4" s="4">
        <v>2</v>
      </c>
      <c r="F4" s="3" t="str">
        <f>SkillAcquire!J4</f>
        <v>,,1,,,,</v>
      </c>
      <c r="G4" s="4">
        <v>1.1000000000000001</v>
      </c>
      <c r="H4" s="4">
        <v>1</v>
      </c>
      <c r="I4" s="4">
        <v>1</v>
      </c>
      <c r="J4" s="4">
        <v>3</v>
      </c>
      <c r="L4" s="4" t="s">
        <v>426</v>
      </c>
      <c r="M4" s="4">
        <v>2</v>
      </c>
      <c r="N4">
        <v>2</v>
      </c>
      <c r="O4" s="4" t="s">
        <v>293</v>
      </c>
      <c r="V4" s="4">
        <v>1</v>
      </c>
      <c r="W4" s="4" t="b">
        <v>1</v>
      </c>
      <c r="X4" s="4">
        <v>3</v>
      </c>
      <c r="AB4" s="4" t="b">
        <v>1</v>
      </c>
      <c r="AC4" s="4">
        <v>3</v>
      </c>
    </row>
    <row r="5" spans="1:34" x14ac:dyDescent="0.15">
      <c r="A5" s="4">
        <v>20002</v>
      </c>
      <c r="B5" s="4" t="s">
        <v>151</v>
      </c>
      <c r="C5" s="4">
        <v>2</v>
      </c>
      <c r="D5" s="4" t="s">
        <v>46</v>
      </c>
      <c r="E5" s="4">
        <v>2</v>
      </c>
      <c r="F5" s="3" t="str">
        <f>SkillAcquire!J5</f>
        <v>,,2,,,,</v>
      </c>
      <c r="G5" s="4">
        <v>1.2</v>
      </c>
      <c r="H5" s="4">
        <v>3</v>
      </c>
      <c r="I5" s="4">
        <v>1</v>
      </c>
      <c r="J5" s="4">
        <v>3</v>
      </c>
      <c r="L5" s="4" t="s">
        <v>426</v>
      </c>
      <c r="M5" s="4">
        <v>2</v>
      </c>
      <c r="N5">
        <v>2</v>
      </c>
      <c r="O5" s="4" t="s">
        <v>293</v>
      </c>
      <c r="V5" s="4">
        <v>1</v>
      </c>
      <c r="W5" s="4" t="b">
        <v>0</v>
      </c>
      <c r="AB5" s="4" t="b">
        <v>1</v>
      </c>
      <c r="AC5" s="4">
        <v>0</v>
      </c>
      <c r="AD5" s="4" t="s">
        <v>255</v>
      </c>
    </row>
    <row r="6" spans="1:34" ht="14.25" customHeight="1" x14ac:dyDescent="0.15">
      <c r="A6" s="4">
        <v>20003</v>
      </c>
      <c r="B6" s="8" t="s">
        <v>152</v>
      </c>
      <c r="C6" s="4">
        <v>3</v>
      </c>
      <c r="D6" s="4" t="s">
        <v>47</v>
      </c>
      <c r="E6" s="4">
        <v>2</v>
      </c>
      <c r="F6" s="3" t="str">
        <f>SkillAcquire!J6</f>
        <v>1,,2,,,1,1</v>
      </c>
      <c r="G6" s="4">
        <v>2</v>
      </c>
      <c r="H6" s="4">
        <v>2</v>
      </c>
      <c r="I6" s="4">
        <v>1</v>
      </c>
      <c r="J6" s="4">
        <v>3</v>
      </c>
      <c r="L6" s="4" t="s">
        <v>426</v>
      </c>
      <c r="M6" s="4">
        <v>2</v>
      </c>
      <c r="N6">
        <v>2</v>
      </c>
      <c r="O6" s="4" t="s">
        <v>293</v>
      </c>
      <c r="V6" s="4">
        <v>1</v>
      </c>
      <c r="W6" s="4" t="b">
        <v>0</v>
      </c>
      <c r="AB6" s="4" t="b">
        <v>1</v>
      </c>
      <c r="AC6" s="4">
        <v>1</v>
      </c>
      <c r="AD6" s="4" t="s">
        <v>257</v>
      </c>
    </row>
    <row r="7" spans="1:34" x14ac:dyDescent="0.15">
      <c r="A7" s="4">
        <v>20004</v>
      </c>
      <c r="B7" s="4" t="s">
        <v>148</v>
      </c>
      <c r="C7" s="4">
        <v>4</v>
      </c>
      <c r="D7" s="4" t="s">
        <v>48</v>
      </c>
      <c r="E7" s="4">
        <v>2</v>
      </c>
      <c r="F7" s="3" t="str">
        <f>SkillAcquire!J7</f>
        <v>,,3,,,,</v>
      </c>
      <c r="G7" s="4">
        <v>1.3</v>
      </c>
      <c r="H7" s="4">
        <v>4</v>
      </c>
      <c r="I7" s="4">
        <v>1</v>
      </c>
      <c r="J7" s="4">
        <v>3</v>
      </c>
      <c r="L7" s="4" t="s">
        <v>426</v>
      </c>
      <c r="M7" s="4">
        <v>2</v>
      </c>
      <c r="N7">
        <v>2</v>
      </c>
      <c r="O7" s="4" t="s">
        <v>293</v>
      </c>
      <c r="V7" s="4">
        <v>1</v>
      </c>
      <c r="W7" s="4" t="b">
        <v>0</v>
      </c>
      <c r="AB7" s="4" t="b">
        <v>1</v>
      </c>
      <c r="AC7" s="4">
        <v>2</v>
      </c>
      <c r="AD7" s="4" t="s">
        <v>258</v>
      </c>
    </row>
    <row r="8" spans="1:34" x14ac:dyDescent="0.15">
      <c r="A8" s="4">
        <v>20005</v>
      </c>
      <c r="B8" s="4" t="s">
        <v>149</v>
      </c>
      <c r="C8" s="4">
        <v>5</v>
      </c>
      <c r="D8" s="4" t="s">
        <v>49</v>
      </c>
      <c r="E8" s="4">
        <v>2</v>
      </c>
      <c r="F8" s="3" t="str">
        <f>SkillAcquire!J8</f>
        <v>,,3,,,2,</v>
      </c>
      <c r="G8" s="4">
        <v>1.4</v>
      </c>
      <c r="H8" s="4">
        <v>5</v>
      </c>
      <c r="I8" s="4">
        <v>1</v>
      </c>
      <c r="J8" s="4">
        <v>3</v>
      </c>
      <c r="L8" s="4" t="s">
        <v>426</v>
      </c>
      <c r="M8" s="4">
        <v>2</v>
      </c>
      <c r="N8">
        <v>2</v>
      </c>
      <c r="O8" s="4" t="s">
        <v>293</v>
      </c>
      <c r="V8" s="4">
        <v>1</v>
      </c>
      <c r="W8" s="4" t="b">
        <v>0</v>
      </c>
      <c r="AB8" s="4" t="b">
        <v>0</v>
      </c>
      <c r="AC8" s="4">
        <v>4</v>
      </c>
      <c r="AD8" s="4">
        <v>2</v>
      </c>
    </row>
    <row r="9" spans="1:34" x14ac:dyDescent="0.15">
      <c r="A9" s="4">
        <v>20006</v>
      </c>
      <c r="B9" s="4" t="s">
        <v>147</v>
      </c>
      <c r="C9" s="4">
        <v>6</v>
      </c>
      <c r="D9" s="4" t="s">
        <v>50</v>
      </c>
      <c r="E9" s="4">
        <v>2</v>
      </c>
      <c r="F9" s="3" t="str">
        <f>SkillAcquire!J9</f>
        <v>,,5,,,,</v>
      </c>
      <c r="G9" s="4">
        <v>1.8</v>
      </c>
      <c r="H9" s="4">
        <v>1</v>
      </c>
      <c r="I9" s="4">
        <v>1</v>
      </c>
      <c r="J9" s="4">
        <v>3</v>
      </c>
      <c r="L9" s="4" t="s">
        <v>426</v>
      </c>
      <c r="M9" s="4">
        <v>2</v>
      </c>
      <c r="N9">
        <v>2</v>
      </c>
      <c r="O9" s="4" t="s">
        <v>293</v>
      </c>
      <c r="V9" s="4">
        <v>1</v>
      </c>
      <c r="W9" s="4" t="b">
        <v>0</v>
      </c>
      <c r="AB9" s="4" t="b">
        <v>1</v>
      </c>
      <c r="AC9" s="4">
        <v>5</v>
      </c>
      <c r="AD9" s="4">
        <v>1</v>
      </c>
    </row>
    <row r="10" spans="1:34" x14ac:dyDescent="0.15">
      <c r="A10" s="4">
        <v>20007</v>
      </c>
      <c r="B10" s="4" t="s">
        <v>154</v>
      </c>
      <c r="C10" s="4">
        <v>7</v>
      </c>
      <c r="D10" s="4" t="s">
        <v>51</v>
      </c>
      <c r="E10" s="4">
        <v>2</v>
      </c>
      <c r="F10" s="3" t="str">
        <f>SkillAcquire!J10</f>
        <v>,,5,3,,,</v>
      </c>
      <c r="G10" s="4">
        <v>1.1000000000000001</v>
      </c>
      <c r="H10" s="4">
        <v>3</v>
      </c>
      <c r="I10" s="4">
        <v>1</v>
      </c>
      <c r="J10" s="4">
        <v>3</v>
      </c>
      <c r="L10" s="4" t="s">
        <v>426</v>
      </c>
      <c r="M10" s="4">
        <v>1</v>
      </c>
      <c r="N10">
        <v>2</v>
      </c>
      <c r="V10" s="4">
        <v>0</v>
      </c>
      <c r="W10" s="4" t="b">
        <v>1</v>
      </c>
      <c r="X10" s="4">
        <v>3</v>
      </c>
      <c r="AB10" s="4" t="b">
        <v>0</v>
      </c>
      <c r="AC10" s="4">
        <v>3</v>
      </c>
    </row>
    <row r="11" spans="1:34" x14ac:dyDescent="0.15">
      <c r="A11" s="4">
        <v>20008</v>
      </c>
      <c r="B11" s="8" t="s">
        <v>153</v>
      </c>
      <c r="C11" s="4">
        <v>8</v>
      </c>
      <c r="D11" s="4" t="s">
        <v>52</v>
      </c>
      <c r="E11" s="4">
        <v>2</v>
      </c>
      <c r="F11" s="3" t="str">
        <f>SkillAcquire!J11</f>
        <v>3,,5,,,3,3</v>
      </c>
      <c r="G11" s="4">
        <v>1.2</v>
      </c>
      <c r="H11" s="4">
        <v>2</v>
      </c>
      <c r="I11" s="4">
        <v>1</v>
      </c>
      <c r="J11" s="4">
        <v>3</v>
      </c>
      <c r="L11" s="4" t="s">
        <v>426</v>
      </c>
      <c r="M11" s="4">
        <v>2</v>
      </c>
      <c r="N11">
        <v>2</v>
      </c>
      <c r="V11" s="4">
        <v>2</v>
      </c>
      <c r="W11" s="4" t="b">
        <v>1</v>
      </c>
      <c r="X11" s="4">
        <v>3</v>
      </c>
      <c r="AB11" s="4" t="b">
        <v>0</v>
      </c>
      <c r="AC11" s="4">
        <v>3</v>
      </c>
    </row>
    <row r="12" spans="1:34" x14ac:dyDescent="0.15">
      <c r="A12" s="4">
        <v>20009</v>
      </c>
      <c r="B12" s="4" t="s">
        <v>155</v>
      </c>
      <c r="C12" s="4">
        <v>9</v>
      </c>
      <c r="D12" s="4" t="s">
        <v>53</v>
      </c>
      <c r="E12" s="4">
        <v>2</v>
      </c>
      <c r="F12" s="3" t="str">
        <f>SkillAcquire!J12</f>
        <v>,,6,,4,4,</v>
      </c>
      <c r="G12" s="4">
        <v>2</v>
      </c>
      <c r="H12" s="4">
        <v>4</v>
      </c>
      <c r="I12" s="4">
        <v>1</v>
      </c>
      <c r="J12" s="4">
        <v>3</v>
      </c>
      <c r="L12" s="4" t="s">
        <v>426</v>
      </c>
      <c r="M12" s="4">
        <v>2</v>
      </c>
      <c r="N12">
        <v>2</v>
      </c>
      <c r="V12" s="4">
        <v>1</v>
      </c>
      <c r="W12" s="4" t="b">
        <v>1</v>
      </c>
      <c r="X12" s="4">
        <v>3</v>
      </c>
      <c r="AB12" s="4" t="b">
        <v>0</v>
      </c>
      <c r="AC12" s="4">
        <v>3</v>
      </c>
    </row>
    <row r="13" spans="1:34" x14ac:dyDescent="0.15">
      <c r="A13" s="4">
        <v>20010</v>
      </c>
      <c r="B13" s="4" t="s">
        <v>150</v>
      </c>
      <c r="C13" s="4">
        <v>10</v>
      </c>
      <c r="D13" s="4" t="s">
        <v>54</v>
      </c>
      <c r="E13" s="4">
        <v>2</v>
      </c>
      <c r="F13" s="3" t="str">
        <f>SkillAcquire!J13</f>
        <v>,,8,,,4,</v>
      </c>
      <c r="G13" s="4">
        <v>1.3</v>
      </c>
      <c r="H13" s="4">
        <v>5</v>
      </c>
      <c r="I13" s="4">
        <v>1</v>
      </c>
      <c r="J13" s="4">
        <v>3</v>
      </c>
      <c r="L13" s="4" t="s">
        <v>426</v>
      </c>
      <c r="M13" s="4">
        <v>2</v>
      </c>
      <c r="N13">
        <v>2</v>
      </c>
      <c r="V13" s="4">
        <v>1</v>
      </c>
      <c r="W13" s="4" t="b">
        <v>1</v>
      </c>
      <c r="X13" s="4">
        <v>3</v>
      </c>
      <c r="AB13" s="4" t="b">
        <v>0</v>
      </c>
      <c r="AC13" s="4">
        <v>3</v>
      </c>
    </row>
    <row r="14" spans="1:34" x14ac:dyDescent="0.15">
      <c r="A14" s="4">
        <v>20011</v>
      </c>
      <c r="B14" s="4" t="s">
        <v>156</v>
      </c>
      <c r="C14" s="4">
        <v>11</v>
      </c>
      <c r="D14" s="4" t="s">
        <v>55</v>
      </c>
      <c r="E14" s="4">
        <v>2</v>
      </c>
      <c r="F14" s="3" t="str">
        <f>SkillAcquire!J14</f>
        <v>,,8,,,4,</v>
      </c>
      <c r="G14" s="4">
        <v>1.4</v>
      </c>
      <c r="H14" s="4">
        <v>1</v>
      </c>
      <c r="I14" s="4">
        <v>1</v>
      </c>
      <c r="J14" s="4">
        <v>3</v>
      </c>
      <c r="L14" s="4" t="s">
        <v>426</v>
      </c>
      <c r="M14" s="4">
        <v>2</v>
      </c>
      <c r="N14">
        <v>2</v>
      </c>
      <c r="V14" s="4">
        <v>1</v>
      </c>
      <c r="W14" s="4" t="b">
        <v>1</v>
      </c>
      <c r="X14" s="4">
        <v>3</v>
      </c>
      <c r="AB14" s="4" t="b">
        <v>0</v>
      </c>
      <c r="AC14" s="4">
        <v>3</v>
      </c>
    </row>
    <row r="15" spans="1:34" x14ac:dyDescent="0.15">
      <c r="A15" s="4">
        <v>20012</v>
      </c>
      <c r="B15" s="4" t="s">
        <v>157</v>
      </c>
      <c r="C15" s="4">
        <v>12</v>
      </c>
      <c r="D15" s="4" t="s">
        <v>56</v>
      </c>
      <c r="E15" s="4">
        <v>2</v>
      </c>
      <c r="F15" s="3" t="str">
        <f>SkillAcquire!J15</f>
        <v>,6,10,,,,</v>
      </c>
      <c r="G15" s="4">
        <v>1.8</v>
      </c>
      <c r="H15" s="4">
        <v>3</v>
      </c>
      <c r="I15" s="4">
        <v>1</v>
      </c>
      <c r="J15" s="4">
        <v>3</v>
      </c>
      <c r="L15" s="4" t="s">
        <v>426</v>
      </c>
      <c r="M15" s="4">
        <v>2</v>
      </c>
      <c r="N15">
        <v>2</v>
      </c>
      <c r="V15" s="4">
        <v>1</v>
      </c>
      <c r="W15" s="4" t="b">
        <v>1</v>
      </c>
      <c r="X15" s="4">
        <v>3</v>
      </c>
      <c r="AB15" s="4" t="b">
        <v>0</v>
      </c>
      <c r="AC15" s="4">
        <v>3</v>
      </c>
    </row>
    <row r="16" spans="1:34" x14ac:dyDescent="0.15">
      <c r="A16" s="4">
        <v>20013</v>
      </c>
      <c r="B16" s="4" t="s">
        <v>158</v>
      </c>
      <c r="C16" s="4">
        <v>13</v>
      </c>
      <c r="D16" s="4" t="s">
        <v>57</v>
      </c>
      <c r="E16" s="4">
        <v>2</v>
      </c>
      <c r="F16" s="3" t="str">
        <f>SkillAcquire!J16</f>
        <v>,,14,,,12,</v>
      </c>
      <c r="G16" s="4">
        <v>1.1000000000000001</v>
      </c>
      <c r="H16" s="4">
        <v>2</v>
      </c>
      <c r="I16" s="4">
        <v>1</v>
      </c>
      <c r="J16" s="4">
        <v>3</v>
      </c>
      <c r="L16" s="4" t="s">
        <v>426</v>
      </c>
      <c r="M16" s="4">
        <v>2</v>
      </c>
      <c r="N16">
        <v>2</v>
      </c>
      <c r="V16" s="4">
        <v>1</v>
      </c>
      <c r="W16" s="4" t="b">
        <v>1</v>
      </c>
      <c r="X16" s="4">
        <v>3</v>
      </c>
      <c r="AB16" s="4" t="b">
        <v>0</v>
      </c>
      <c r="AC16" s="4">
        <v>3</v>
      </c>
    </row>
    <row r="17" spans="1:29" x14ac:dyDescent="0.15">
      <c r="A17" s="4">
        <v>20014</v>
      </c>
      <c r="B17" s="4" t="s">
        <v>159</v>
      </c>
      <c r="C17" s="4">
        <v>14</v>
      </c>
      <c r="D17" s="4" t="s">
        <v>58</v>
      </c>
      <c r="E17" s="4">
        <v>2</v>
      </c>
      <c r="F17" s="3" t="str">
        <f>SkillAcquire!J17</f>
        <v>,,16,,,15,</v>
      </c>
      <c r="G17" s="4">
        <v>1.2</v>
      </c>
      <c r="H17" s="4">
        <v>4</v>
      </c>
      <c r="I17" s="4">
        <v>1</v>
      </c>
      <c r="J17" s="4">
        <v>3</v>
      </c>
      <c r="L17" s="4" t="s">
        <v>426</v>
      </c>
      <c r="M17" s="4">
        <v>2</v>
      </c>
      <c r="N17">
        <v>2</v>
      </c>
      <c r="V17" s="4">
        <v>1</v>
      </c>
      <c r="W17" s="4" t="b">
        <v>1</v>
      </c>
      <c r="X17" s="4">
        <v>3</v>
      </c>
      <c r="AB17" s="4" t="b">
        <v>0</v>
      </c>
      <c r="AC17" s="4">
        <v>3</v>
      </c>
    </row>
    <row r="18" spans="1:29" x14ac:dyDescent="0.15">
      <c r="A18" s="4">
        <v>20015</v>
      </c>
      <c r="B18" s="4" t="s">
        <v>140</v>
      </c>
      <c r="C18" s="4">
        <v>15</v>
      </c>
      <c r="D18" s="4" t="s">
        <v>59</v>
      </c>
      <c r="E18" s="4">
        <v>0</v>
      </c>
      <c r="F18" s="3" t="str">
        <f>SkillAcquire!J18</f>
        <v>1,,,,,,</v>
      </c>
      <c r="G18" s="4">
        <v>2</v>
      </c>
      <c r="H18" s="4">
        <v>5</v>
      </c>
      <c r="I18" s="4">
        <v>1</v>
      </c>
      <c r="J18" s="4">
        <v>3</v>
      </c>
      <c r="L18" s="4" t="s">
        <v>426</v>
      </c>
      <c r="M18" s="4">
        <v>2</v>
      </c>
      <c r="N18">
        <v>2</v>
      </c>
      <c r="V18" s="4">
        <v>1</v>
      </c>
      <c r="W18" s="4" t="b">
        <v>1</v>
      </c>
      <c r="X18" s="4">
        <v>3</v>
      </c>
      <c r="AB18" s="4" t="b">
        <v>0</v>
      </c>
      <c r="AC18" s="4">
        <v>3</v>
      </c>
    </row>
    <row r="19" spans="1:29" x14ac:dyDescent="0.15">
      <c r="A19" s="4">
        <v>20016</v>
      </c>
      <c r="B19" s="4" t="s">
        <v>186</v>
      </c>
      <c r="C19" s="4">
        <v>16</v>
      </c>
      <c r="D19" s="4" t="s">
        <v>60</v>
      </c>
      <c r="E19" s="4">
        <v>0</v>
      </c>
      <c r="F19" s="3" t="str">
        <f>SkillAcquire!J19</f>
        <v>1,,,,,,</v>
      </c>
      <c r="G19" s="4">
        <v>1.3</v>
      </c>
      <c r="H19" s="4">
        <v>1</v>
      </c>
      <c r="I19" s="4">
        <v>1</v>
      </c>
      <c r="J19" s="4">
        <v>3</v>
      </c>
      <c r="L19" s="4" t="s">
        <v>426</v>
      </c>
      <c r="M19" s="4">
        <v>2</v>
      </c>
      <c r="N19">
        <v>2</v>
      </c>
      <c r="V19" s="4">
        <v>1</v>
      </c>
      <c r="W19" s="4" t="b">
        <v>1</v>
      </c>
      <c r="X19" s="4">
        <v>3</v>
      </c>
      <c r="AB19" s="4" t="b">
        <v>0</v>
      </c>
      <c r="AC19" s="4">
        <v>3</v>
      </c>
    </row>
    <row r="20" spans="1:29" x14ac:dyDescent="0.15">
      <c r="A20" s="4">
        <v>20017</v>
      </c>
      <c r="B20" s="4" t="s">
        <v>143</v>
      </c>
      <c r="C20" s="4">
        <v>17</v>
      </c>
      <c r="D20" s="4" t="s">
        <v>61</v>
      </c>
      <c r="E20" s="4">
        <v>0</v>
      </c>
      <c r="F20" s="3" t="str">
        <f>SkillAcquire!J20</f>
        <v>2,,,,,,1</v>
      </c>
      <c r="G20" s="4">
        <v>1.4</v>
      </c>
      <c r="H20" s="4">
        <v>3</v>
      </c>
      <c r="I20" s="4">
        <v>1</v>
      </c>
      <c r="J20" s="4">
        <v>3</v>
      </c>
      <c r="L20" s="4" t="s">
        <v>426</v>
      </c>
      <c r="M20" s="4">
        <v>2</v>
      </c>
      <c r="N20">
        <v>2</v>
      </c>
      <c r="V20" s="4">
        <v>1</v>
      </c>
      <c r="W20" s="4" t="b">
        <v>1</v>
      </c>
      <c r="X20" s="4">
        <v>3</v>
      </c>
      <c r="AB20" s="4" t="b">
        <v>0</v>
      </c>
      <c r="AC20" s="4">
        <v>3</v>
      </c>
    </row>
    <row r="21" spans="1:29" x14ac:dyDescent="0.15">
      <c r="A21" s="4">
        <v>20018</v>
      </c>
      <c r="B21" s="4" t="s">
        <v>162</v>
      </c>
      <c r="C21" s="4">
        <v>18</v>
      </c>
      <c r="D21" s="4" t="s">
        <v>62</v>
      </c>
      <c r="E21" s="4">
        <v>0</v>
      </c>
      <c r="F21" s="3" t="str">
        <f>SkillAcquire!J21</f>
        <v>2,,,1,,1,</v>
      </c>
      <c r="G21" s="4">
        <v>1.8</v>
      </c>
      <c r="H21" s="4">
        <v>2</v>
      </c>
      <c r="I21" s="4">
        <v>1</v>
      </c>
      <c r="J21" s="4">
        <v>3</v>
      </c>
      <c r="L21" s="4" t="s">
        <v>426</v>
      </c>
      <c r="M21" s="4">
        <v>2</v>
      </c>
      <c r="N21">
        <v>2</v>
      </c>
      <c r="V21" s="4">
        <v>1</v>
      </c>
      <c r="W21" s="4" t="b">
        <v>1</v>
      </c>
      <c r="X21" s="4">
        <v>3</v>
      </c>
      <c r="AB21" s="4" t="b">
        <v>0</v>
      </c>
      <c r="AC21" s="4">
        <v>3</v>
      </c>
    </row>
    <row r="22" spans="1:29" x14ac:dyDescent="0.15">
      <c r="A22" s="4">
        <v>20019</v>
      </c>
      <c r="B22" s="4" t="s">
        <v>141</v>
      </c>
      <c r="C22" s="4">
        <v>19</v>
      </c>
      <c r="D22" s="4" t="s">
        <v>63</v>
      </c>
      <c r="E22" s="4">
        <v>0</v>
      </c>
      <c r="F22" s="3" t="str">
        <f>SkillAcquire!J22</f>
        <v>4,,,,,,</v>
      </c>
      <c r="G22" s="4">
        <v>1.1000000000000001</v>
      </c>
      <c r="H22" s="4">
        <v>4</v>
      </c>
      <c r="I22" s="4">
        <v>1</v>
      </c>
      <c r="J22" s="4">
        <v>3</v>
      </c>
      <c r="L22" s="4" t="s">
        <v>426</v>
      </c>
      <c r="M22" s="4">
        <v>2</v>
      </c>
      <c r="N22">
        <v>2</v>
      </c>
      <c r="V22" s="4">
        <v>1</v>
      </c>
      <c r="W22" s="4" t="b">
        <v>1</v>
      </c>
      <c r="X22" s="4">
        <v>3</v>
      </c>
      <c r="AB22" s="4" t="b">
        <v>0</v>
      </c>
      <c r="AC22" s="4">
        <v>3</v>
      </c>
    </row>
    <row r="23" spans="1:29" x14ac:dyDescent="0.15">
      <c r="A23" s="4">
        <v>20020</v>
      </c>
      <c r="B23" s="4" t="s">
        <v>144</v>
      </c>
      <c r="C23" s="4">
        <v>20</v>
      </c>
      <c r="D23" s="4" t="s">
        <v>64</v>
      </c>
      <c r="E23" s="4">
        <v>0</v>
      </c>
      <c r="F23" s="3" t="str">
        <f>SkillAcquire!J23</f>
        <v>4,,,2,,,1</v>
      </c>
      <c r="G23" s="4">
        <v>1.2</v>
      </c>
      <c r="H23" s="4">
        <v>5</v>
      </c>
      <c r="I23" s="4">
        <v>1</v>
      </c>
      <c r="J23" s="4">
        <v>3</v>
      </c>
      <c r="L23" s="4" t="s">
        <v>426</v>
      </c>
      <c r="M23" s="4">
        <v>2</v>
      </c>
      <c r="N23">
        <v>2</v>
      </c>
      <c r="V23" s="4">
        <v>1</v>
      </c>
      <c r="W23" s="4" t="b">
        <v>1</v>
      </c>
      <c r="X23" s="4">
        <v>3</v>
      </c>
      <c r="AB23" s="4" t="b">
        <v>0</v>
      </c>
      <c r="AC23" s="4">
        <v>3</v>
      </c>
    </row>
    <row r="24" spans="1:29" x14ac:dyDescent="0.15">
      <c r="A24" s="4">
        <v>20021</v>
      </c>
      <c r="B24" s="4" t="s">
        <v>187</v>
      </c>
      <c r="C24" s="4">
        <v>21</v>
      </c>
      <c r="D24" s="4" t="s">
        <v>65</v>
      </c>
      <c r="E24" s="4">
        <v>0</v>
      </c>
      <c r="F24" s="3" t="str">
        <f>SkillAcquire!J24</f>
        <v>5,,,,,,</v>
      </c>
      <c r="G24" s="4">
        <v>2</v>
      </c>
      <c r="H24" s="4">
        <v>1</v>
      </c>
      <c r="I24" s="4">
        <v>1</v>
      </c>
      <c r="J24" s="4">
        <v>3</v>
      </c>
      <c r="L24" s="4" t="s">
        <v>426</v>
      </c>
      <c r="M24" s="4">
        <v>2</v>
      </c>
      <c r="N24">
        <v>2</v>
      </c>
      <c r="V24" s="4">
        <v>1</v>
      </c>
      <c r="W24" s="4" t="b">
        <v>1</v>
      </c>
      <c r="X24" s="4">
        <v>3</v>
      </c>
      <c r="AB24" s="4" t="b">
        <v>0</v>
      </c>
      <c r="AC24" s="4">
        <v>3</v>
      </c>
    </row>
    <row r="25" spans="1:29" x14ac:dyDescent="0.15">
      <c r="A25" s="4">
        <v>20022</v>
      </c>
      <c r="B25" s="4" t="s">
        <v>163</v>
      </c>
      <c r="C25" s="4">
        <v>22</v>
      </c>
      <c r="D25" s="4" t="s">
        <v>66</v>
      </c>
      <c r="E25" s="4">
        <v>0</v>
      </c>
      <c r="F25" s="3" t="str">
        <f>SkillAcquire!J25</f>
        <v>8,,,,,,</v>
      </c>
      <c r="G25" s="4">
        <v>1.3</v>
      </c>
      <c r="H25" s="4">
        <v>3</v>
      </c>
      <c r="I25" s="4">
        <v>1</v>
      </c>
      <c r="J25" s="4">
        <v>3</v>
      </c>
      <c r="L25" s="4" t="s">
        <v>426</v>
      </c>
      <c r="M25" s="4">
        <v>2</v>
      </c>
      <c r="N25">
        <v>2</v>
      </c>
      <c r="V25" s="4">
        <v>1</v>
      </c>
      <c r="W25" s="4" t="b">
        <v>1</v>
      </c>
      <c r="X25" s="4">
        <v>3</v>
      </c>
      <c r="AB25" s="4" t="b">
        <v>0</v>
      </c>
      <c r="AC25" s="4">
        <v>3</v>
      </c>
    </row>
    <row r="26" spans="1:29" x14ac:dyDescent="0.15">
      <c r="A26" s="4">
        <v>20023</v>
      </c>
      <c r="B26" s="4" t="s">
        <v>164</v>
      </c>
      <c r="C26" s="4">
        <v>23</v>
      </c>
      <c r="D26" s="4" t="s">
        <v>67</v>
      </c>
      <c r="E26" s="4">
        <v>0</v>
      </c>
      <c r="F26" s="3" t="str">
        <f>SkillAcquire!J26</f>
        <v>8,,,2,,2,</v>
      </c>
      <c r="G26" s="4">
        <v>1.4</v>
      </c>
      <c r="H26" s="4">
        <v>2</v>
      </c>
      <c r="I26" s="4">
        <v>1</v>
      </c>
      <c r="J26" s="4">
        <v>3</v>
      </c>
      <c r="L26" s="4" t="s">
        <v>426</v>
      </c>
      <c r="M26" s="4">
        <v>2</v>
      </c>
      <c r="N26">
        <v>2</v>
      </c>
      <c r="V26" s="4">
        <v>1</v>
      </c>
      <c r="W26" s="4" t="b">
        <v>1</v>
      </c>
      <c r="X26" s="4">
        <v>3</v>
      </c>
      <c r="AB26" s="4" t="b">
        <v>0</v>
      </c>
      <c r="AC26" s="4">
        <v>3</v>
      </c>
    </row>
    <row r="27" spans="1:29" x14ac:dyDescent="0.15">
      <c r="A27" s="4">
        <v>20024</v>
      </c>
      <c r="B27" s="4" t="s">
        <v>238</v>
      </c>
      <c r="C27" s="4">
        <v>24</v>
      </c>
      <c r="D27" s="4" t="s">
        <v>68</v>
      </c>
      <c r="E27" s="4">
        <v>0</v>
      </c>
      <c r="F27" s="3" t="str">
        <f>SkillAcquire!J27</f>
        <v>8,,,,,2,4</v>
      </c>
      <c r="G27" s="4">
        <v>1.8</v>
      </c>
      <c r="H27" s="4">
        <v>4</v>
      </c>
      <c r="I27" s="4">
        <v>1</v>
      </c>
      <c r="J27" s="4">
        <v>3</v>
      </c>
      <c r="L27" s="4" t="s">
        <v>426</v>
      </c>
      <c r="M27" s="4">
        <v>2</v>
      </c>
      <c r="N27">
        <v>2</v>
      </c>
      <c r="V27" s="4">
        <v>1</v>
      </c>
      <c r="W27" s="4" t="b">
        <v>1</v>
      </c>
      <c r="X27" s="4">
        <v>3</v>
      </c>
      <c r="AB27" s="4" t="b">
        <v>0</v>
      </c>
      <c r="AC27" s="4">
        <v>3</v>
      </c>
    </row>
    <row r="28" spans="1:29" x14ac:dyDescent="0.15">
      <c r="A28" s="4">
        <v>20025</v>
      </c>
      <c r="B28" s="4" t="s">
        <v>189</v>
      </c>
      <c r="C28" s="4">
        <v>25</v>
      </c>
      <c r="D28" s="4" t="s">
        <v>69</v>
      </c>
      <c r="E28" s="4">
        <v>0</v>
      </c>
      <c r="F28" s="3" t="str">
        <f>SkillAcquire!J28</f>
        <v>10,,,2,,1,</v>
      </c>
      <c r="G28" s="4">
        <v>1.1000000000000001</v>
      </c>
      <c r="H28" s="4">
        <v>5</v>
      </c>
      <c r="I28" s="4">
        <v>1</v>
      </c>
      <c r="J28" s="4">
        <v>3</v>
      </c>
      <c r="L28" s="4" t="s">
        <v>426</v>
      </c>
      <c r="M28" s="4">
        <v>2</v>
      </c>
      <c r="N28">
        <v>2</v>
      </c>
      <c r="V28" s="4">
        <v>1</v>
      </c>
      <c r="W28" s="4" t="b">
        <v>1</v>
      </c>
      <c r="X28" s="4">
        <v>3</v>
      </c>
      <c r="AB28" s="4" t="b">
        <v>0</v>
      </c>
      <c r="AC28" s="4">
        <v>3</v>
      </c>
    </row>
    <row r="29" spans="1:29" x14ac:dyDescent="0.15">
      <c r="A29" s="4">
        <v>20026</v>
      </c>
      <c r="B29" s="4" t="s">
        <v>188</v>
      </c>
      <c r="C29" s="4">
        <v>26</v>
      </c>
      <c r="D29" s="4" t="s">
        <v>70</v>
      </c>
      <c r="E29" s="4">
        <v>0</v>
      </c>
      <c r="F29" s="3" t="str">
        <f>SkillAcquire!J29</f>
        <v>12,,,,,,</v>
      </c>
      <c r="G29" s="4">
        <v>1.2</v>
      </c>
      <c r="H29" s="4">
        <v>1</v>
      </c>
      <c r="I29" s="4">
        <v>1</v>
      </c>
      <c r="J29" s="4">
        <v>3</v>
      </c>
      <c r="L29" s="4" t="s">
        <v>426</v>
      </c>
      <c r="M29" s="4">
        <v>2</v>
      </c>
      <c r="N29">
        <v>2</v>
      </c>
      <c r="V29" s="4">
        <v>1</v>
      </c>
      <c r="W29" s="4" t="b">
        <v>1</v>
      </c>
      <c r="X29" s="4">
        <v>3</v>
      </c>
      <c r="AB29" s="4" t="b">
        <v>0</v>
      </c>
      <c r="AC29" s="4">
        <v>3</v>
      </c>
    </row>
    <row r="30" spans="1:29" x14ac:dyDescent="0.15">
      <c r="A30" s="4">
        <v>20027</v>
      </c>
      <c r="B30" s="4" t="s">
        <v>142</v>
      </c>
      <c r="C30" s="4">
        <v>27</v>
      </c>
      <c r="D30" s="4" t="s">
        <v>71</v>
      </c>
      <c r="E30" s="4">
        <v>0</v>
      </c>
      <c r="F30" s="3" t="str">
        <f>SkillAcquire!J30</f>
        <v>15,,,,,,</v>
      </c>
      <c r="G30" s="4">
        <v>2</v>
      </c>
      <c r="H30" s="4">
        <v>3</v>
      </c>
      <c r="I30" s="4">
        <v>1</v>
      </c>
      <c r="J30" s="4">
        <v>3</v>
      </c>
      <c r="L30" s="4" t="s">
        <v>426</v>
      </c>
      <c r="M30" s="4">
        <v>2</v>
      </c>
      <c r="N30">
        <v>2</v>
      </c>
      <c r="V30" s="4">
        <v>1</v>
      </c>
      <c r="W30" s="4" t="b">
        <v>1</v>
      </c>
      <c r="X30" s="4">
        <v>3</v>
      </c>
      <c r="AB30" s="4" t="b">
        <v>0</v>
      </c>
      <c r="AC30" s="4">
        <v>3</v>
      </c>
    </row>
    <row r="31" spans="1:29" x14ac:dyDescent="0.15">
      <c r="A31" s="4">
        <v>20028</v>
      </c>
      <c r="B31" s="4" t="s">
        <v>165</v>
      </c>
      <c r="C31" s="4">
        <v>28</v>
      </c>
      <c r="D31" s="4" t="s">
        <v>72</v>
      </c>
      <c r="E31" s="4">
        <v>0</v>
      </c>
      <c r="F31" s="3" t="str">
        <f>SkillAcquire!J31</f>
        <v>16,,,8,,4,</v>
      </c>
      <c r="G31" s="4">
        <v>1.3</v>
      </c>
      <c r="H31" s="4">
        <v>2</v>
      </c>
      <c r="I31" s="4">
        <v>1</v>
      </c>
      <c r="J31" s="4">
        <v>3</v>
      </c>
      <c r="L31" s="4" t="s">
        <v>426</v>
      </c>
      <c r="M31" s="4">
        <v>2</v>
      </c>
      <c r="N31">
        <v>2</v>
      </c>
      <c r="V31" s="4">
        <v>1</v>
      </c>
      <c r="W31" s="4" t="b">
        <v>1</v>
      </c>
      <c r="X31" s="4">
        <v>3</v>
      </c>
      <c r="AB31" s="4" t="b">
        <v>0</v>
      </c>
      <c r="AC31" s="4">
        <v>3</v>
      </c>
    </row>
    <row r="32" spans="1:29" x14ac:dyDescent="0.15">
      <c r="A32" s="4">
        <v>20029</v>
      </c>
      <c r="B32" s="4" t="s">
        <v>145</v>
      </c>
      <c r="C32" s="4">
        <v>29</v>
      </c>
      <c r="D32" s="4" t="s">
        <v>73</v>
      </c>
      <c r="E32" s="4">
        <v>0</v>
      </c>
      <c r="F32" s="3" t="str">
        <f>SkillAcquire!J32</f>
        <v>18,,,8,,,4</v>
      </c>
      <c r="G32" s="4">
        <v>1.4</v>
      </c>
      <c r="H32" s="4">
        <v>4</v>
      </c>
      <c r="I32" s="4">
        <v>1</v>
      </c>
      <c r="J32" s="4">
        <v>3</v>
      </c>
      <c r="L32" s="4" t="s">
        <v>426</v>
      </c>
      <c r="M32" s="4">
        <v>2</v>
      </c>
      <c r="N32">
        <v>2</v>
      </c>
      <c r="V32" s="4">
        <v>1</v>
      </c>
      <c r="W32" s="4" t="b">
        <v>1</v>
      </c>
      <c r="X32" s="4">
        <v>3</v>
      </c>
      <c r="AB32" s="4" t="b">
        <v>0</v>
      </c>
      <c r="AC32" s="4">
        <v>3</v>
      </c>
    </row>
    <row r="33" spans="1:30" x14ac:dyDescent="0.15">
      <c r="A33" s="4">
        <v>20030</v>
      </c>
      <c r="B33" s="4" t="s">
        <v>166</v>
      </c>
      <c r="C33" s="4">
        <v>30</v>
      </c>
      <c r="D33" s="4" t="s">
        <v>74</v>
      </c>
      <c r="E33" s="4">
        <v>0</v>
      </c>
      <c r="F33" s="3" t="str">
        <f>SkillAcquire!J33</f>
        <v>22,,,12,,6,</v>
      </c>
      <c r="G33" s="4">
        <v>1.8</v>
      </c>
      <c r="H33" s="4">
        <v>5</v>
      </c>
      <c r="I33" s="4">
        <v>1</v>
      </c>
      <c r="J33" s="4">
        <v>3</v>
      </c>
      <c r="L33" s="4" t="s">
        <v>426</v>
      </c>
      <c r="M33" s="4">
        <v>2</v>
      </c>
      <c r="N33">
        <v>2</v>
      </c>
      <c r="V33" s="4">
        <v>1</v>
      </c>
      <c r="W33" s="4" t="b">
        <v>1</v>
      </c>
      <c r="X33" s="4">
        <v>3</v>
      </c>
      <c r="AB33" s="4" t="b">
        <v>0</v>
      </c>
      <c r="AC33" s="4">
        <v>3</v>
      </c>
    </row>
    <row r="34" spans="1:30" ht="12.75" customHeight="1" x14ac:dyDescent="0.15">
      <c r="A34" s="4">
        <v>20031</v>
      </c>
      <c r="B34" s="4" t="s">
        <v>190</v>
      </c>
      <c r="C34" s="4">
        <v>31</v>
      </c>
      <c r="D34" s="4" t="s">
        <v>75</v>
      </c>
      <c r="E34" s="4">
        <v>0</v>
      </c>
      <c r="F34" s="3" t="str">
        <f>SkillAcquire!J34</f>
        <v>25,,,12,,5,</v>
      </c>
      <c r="G34" s="4">
        <v>1.1000000000000001</v>
      </c>
      <c r="H34" s="4">
        <v>1</v>
      </c>
      <c r="I34" s="4">
        <v>1</v>
      </c>
      <c r="J34" s="4">
        <v>3</v>
      </c>
      <c r="L34" s="4" t="s">
        <v>426</v>
      </c>
      <c r="M34" s="4">
        <v>2</v>
      </c>
      <c r="N34">
        <v>2</v>
      </c>
      <c r="V34" s="4">
        <v>1</v>
      </c>
      <c r="W34" s="4" t="b">
        <v>1</v>
      </c>
      <c r="X34" s="4">
        <v>3</v>
      </c>
      <c r="AB34" s="4" t="b">
        <v>0</v>
      </c>
      <c r="AC34" s="4">
        <v>3</v>
      </c>
    </row>
    <row r="35" spans="1:30" x14ac:dyDescent="0.15">
      <c r="A35" s="4">
        <v>20032</v>
      </c>
      <c r="B35" s="4" t="s">
        <v>297</v>
      </c>
      <c r="C35" s="4">
        <v>32</v>
      </c>
      <c r="D35" s="4" t="s">
        <v>76</v>
      </c>
      <c r="E35" s="4">
        <v>1</v>
      </c>
      <c r="F35" s="3" t="str">
        <f>SkillAcquire!J35</f>
        <v>,1,,,,,</v>
      </c>
      <c r="G35" s="4">
        <v>1.2</v>
      </c>
      <c r="H35" s="4">
        <v>3</v>
      </c>
      <c r="I35" s="4">
        <v>1</v>
      </c>
      <c r="J35" s="4">
        <v>3</v>
      </c>
      <c r="L35" s="4" t="s">
        <v>426</v>
      </c>
      <c r="M35" s="4">
        <v>0</v>
      </c>
      <c r="N35">
        <v>2</v>
      </c>
      <c r="O35" s="4" t="s">
        <v>296</v>
      </c>
      <c r="R35" s="4" t="s">
        <v>325</v>
      </c>
      <c r="S35" s="4">
        <v>0.5</v>
      </c>
      <c r="V35" s="4">
        <v>2</v>
      </c>
      <c r="W35" s="4" t="b">
        <v>1</v>
      </c>
      <c r="X35" s="4">
        <v>5</v>
      </c>
      <c r="Y35" s="4">
        <v>0.15</v>
      </c>
      <c r="Z35" s="4" t="b">
        <v>1</v>
      </c>
      <c r="AA35" s="5" t="s">
        <v>287</v>
      </c>
      <c r="AB35" s="4" t="b">
        <v>0</v>
      </c>
      <c r="AC35" s="4">
        <v>3</v>
      </c>
    </row>
    <row r="36" spans="1:30" x14ac:dyDescent="0.15">
      <c r="A36" s="4">
        <v>20033</v>
      </c>
      <c r="B36" s="4" t="s">
        <v>160</v>
      </c>
      <c r="C36" s="4">
        <v>33</v>
      </c>
      <c r="D36" s="4" t="s">
        <v>77</v>
      </c>
      <c r="E36" s="4">
        <v>1</v>
      </c>
      <c r="F36" s="3" t="str">
        <f>SkillAcquire!J36</f>
        <v>,2,,1,,1,1</v>
      </c>
      <c r="G36" s="4">
        <v>2</v>
      </c>
      <c r="H36" s="4">
        <v>2</v>
      </c>
      <c r="I36" s="4">
        <v>1</v>
      </c>
      <c r="J36" s="4">
        <v>3</v>
      </c>
      <c r="L36" s="4" t="s">
        <v>426</v>
      </c>
      <c r="M36" s="4">
        <v>2</v>
      </c>
      <c r="N36">
        <v>2</v>
      </c>
      <c r="V36" s="4">
        <v>1</v>
      </c>
      <c r="W36" s="4" t="b">
        <v>1</v>
      </c>
      <c r="X36" s="4">
        <v>3</v>
      </c>
      <c r="AB36" s="4" t="b">
        <v>0</v>
      </c>
      <c r="AC36" s="4">
        <v>3</v>
      </c>
    </row>
    <row r="37" spans="1:30" x14ac:dyDescent="0.15">
      <c r="A37" s="4">
        <v>20034</v>
      </c>
      <c r="B37" s="4" t="s">
        <v>191</v>
      </c>
      <c r="C37" s="4">
        <v>34</v>
      </c>
      <c r="D37" s="4" t="s">
        <v>78</v>
      </c>
      <c r="E37" s="4">
        <v>1</v>
      </c>
      <c r="F37" s="3" t="str">
        <f>SkillAcquire!J37</f>
        <v>,3,,,,,</v>
      </c>
      <c r="G37" s="4">
        <v>1.3</v>
      </c>
      <c r="H37" s="4">
        <v>4</v>
      </c>
      <c r="I37" s="4">
        <v>1</v>
      </c>
      <c r="J37" s="4">
        <v>3</v>
      </c>
      <c r="L37" s="4" t="s">
        <v>426</v>
      </c>
      <c r="M37" s="4">
        <v>2</v>
      </c>
      <c r="N37">
        <v>2</v>
      </c>
      <c r="O37" s="4" t="s">
        <v>293</v>
      </c>
      <c r="V37" s="4">
        <v>1</v>
      </c>
      <c r="W37" s="4" t="b">
        <v>0</v>
      </c>
      <c r="AB37" s="4" t="b">
        <v>0</v>
      </c>
      <c r="AC37" s="4">
        <v>6</v>
      </c>
      <c r="AD37" s="4">
        <v>1</v>
      </c>
    </row>
    <row r="38" spans="1:30" x14ac:dyDescent="0.15">
      <c r="A38" s="4">
        <v>20035</v>
      </c>
      <c r="B38" s="4" t="s">
        <v>194</v>
      </c>
      <c r="C38" s="4">
        <v>35</v>
      </c>
      <c r="D38" s="4" t="s">
        <v>79</v>
      </c>
      <c r="E38" s="4">
        <v>1</v>
      </c>
      <c r="F38" s="3" t="str">
        <f>SkillAcquire!J38</f>
        <v>,3,,1,,1,</v>
      </c>
      <c r="G38" s="4">
        <v>1.4</v>
      </c>
      <c r="H38" s="4">
        <v>5</v>
      </c>
      <c r="I38" s="4">
        <v>1</v>
      </c>
      <c r="J38" s="4">
        <v>3</v>
      </c>
      <c r="L38" s="4" t="s">
        <v>426</v>
      </c>
      <c r="M38" s="4">
        <v>2</v>
      </c>
      <c r="N38">
        <v>2</v>
      </c>
      <c r="V38" s="4">
        <v>1</v>
      </c>
      <c r="W38" s="4" t="b">
        <v>1</v>
      </c>
      <c r="X38" s="4">
        <v>3</v>
      </c>
      <c r="AB38" s="4" t="b">
        <v>0</v>
      </c>
      <c r="AC38" s="4">
        <v>3</v>
      </c>
    </row>
    <row r="39" spans="1:30" x14ac:dyDescent="0.15">
      <c r="A39" s="4">
        <v>20036</v>
      </c>
      <c r="B39" s="4" t="s">
        <v>195</v>
      </c>
      <c r="C39" s="4">
        <v>36</v>
      </c>
      <c r="D39" s="4" t="s">
        <v>80</v>
      </c>
      <c r="E39" s="4">
        <v>1</v>
      </c>
      <c r="F39" s="3" t="str">
        <f>SkillAcquire!J39</f>
        <v>,5,,2,,2,</v>
      </c>
      <c r="G39" s="4">
        <v>1.8</v>
      </c>
      <c r="H39" s="4">
        <v>1</v>
      </c>
      <c r="I39" s="4">
        <v>1</v>
      </c>
      <c r="J39" s="4">
        <v>3</v>
      </c>
      <c r="L39" s="4" t="s">
        <v>426</v>
      </c>
      <c r="M39" s="4">
        <v>2</v>
      </c>
      <c r="N39">
        <v>2</v>
      </c>
      <c r="V39" s="4">
        <v>1</v>
      </c>
      <c r="W39" s="4" t="b">
        <v>1</v>
      </c>
      <c r="X39" s="4">
        <v>3</v>
      </c>
      <c r="AB39" s="4" t="b">
        <v>0</v>
      </c>
      <c r="AC39" s="4">
        <v>3</v>
      </c>
    </row>
    <row r="40" spans="1:30" x14ac:dyDescent="0.15">
      <c r="A40" s="4">
        <v>20037</v>
      </c>
      <c r="B40" s="4" t="s">
        <v>161</v>
      </c>
      <c r="C40" s="4">
        <v>37</v>
      </c>
      <c r="D40" s="4" t="s">
        <v>81</v>
      </c>
      <c r="E40" s="4">
        <v>1</v>
      </c>
      <c r="F40" s="3" t="str">
        <f>SkillAcquire!J40</f>
        <v>,5,,3,,3,3</v>
      </c>
      <c r="G40" s="4">
        <v>1.1000000000000001</v>
      </c>
      <c r="H40" s="4">
        <v>3</v>
      </c>
      <c r="I40" s="4">
        <v>1</v>
      </c>
      <c r="J40" s="4">
        <v>3</v>
      </c>
      <c r="L40" s="4" t="s">
        <v>426</v>
      </c>
      <c r="M40" s="4">
        <v>2</v>
      </c>
      <c r="N40">
        <v>2</v>
      </c>
      <c r="V40" s="4">
        <v>1</v>
      </c>
      <c r="W40" s="4" t="b">
        <v>1</v>
      </c>
      <c r="X40" s="4">
        <v>3</v>
      </c>
      <c r="AB40" s="4" t="b">
        <v>0</v>
      </c>
      <c r="AC40" s="4">
        <v>3</v>
      </c>
    </row>
    <row r="41" spans="1:30" x14ac:dyDescent="0.15">
      <c r="A41" s="4">
        <v>20038</v>
      </c>
      <c r="B41" s="4" t="s">
        <v>192</v>
      </c>
      <c r="C41" s="4">
        <v>38</v>
      </c>
      <c r="D41" s="4" t="s">
        <v>82</v>
      </c>
      <c r="E41" s="4">
        <v>1</v>
      </c>
      <c r="F41" s="3" t="str">
        <f>SkillAcquire!J41</f>
        <v>,8,,,,,</v>
      </c>
      <c r="G41" s="4">
        <v>1.2</v>
      </c>
      <c r="H41" s="4">
        <v>2</v>
      </c>
      <c r="I41" s="4">
        <v>1</v>
      </c>
      <c r="J41" s="4">
        <v>3</v>
      </c>
      <c r="L41" s="4" t="s">
        <v>426</v>
      </c>
      <c r="M41" s="4">
        <v>2</v>
      </c>
      <c r="N41">
        <v>2</v>
      </c>
      <c r="V41" s="4">
        <v>1</v>
      </c>
      <c r="W41" s="4" t="b">
        <v>1</v>
      </c>
      <c r="X41" s="4">
        <v>3</v>
      </c>
      <c r="AB41" s="4" t="b">
        <v>0</v>
      </c>
      <c r="AC41" s="4">
        <v>3</v>
      </c>
    </row>
    <row r="42" spans="1:30" x14ac:dyDescent="0.15">
      <c r="A42" s="4">
        <v>20039</v>
      </c>
      <c r="B42" s="4" t="s">
        <v>196</v>
      </c>
      <c r="C42" s="4">
        <v>39</v>
      </c>
      <c r="D42" s="4" t="s">
        <v>83</v>
      </c>
      <c r="E42" s="4">
        <v>1</v>
      </c>
      <c r="F42" s="3" t="str">
        <f>SkillAcquire!J42</f>
        <v>,8,3,,,5,</v>
      </c>
      <c r="G42" s="4">
        <v>2</v>
      </c>
      <c r="H42" s="4">
        <v>4</v>
      </c>
      <c r="I42" s="4">
        <v>1</v>
      </c>
      <c r="J42" s="4">
        <v>3</v>
      </c>
      <c r="L42" s="4" t="s">
        <v>426</v>
      </c>
      <c r="M42" s="4">
        <v>2</v>
      </c>
      <c r="N42">
        <v>2</v>
      </c>
      <c r="V42" s="4">
        <v>1</v>
      </c>
      <c r="W42" s="4" t="b">
        <v>1</v>
      </c>
      <c r="X42" s="4">
        <v>3</v>
      </c>
      <c r="AB42" s="4" t="b">
        <v>0</v>
      </c>
      <c r="AC42" s="4">
        <v>3</v>
      </c>
    </row>
    <row r="43" spans="1:30" x14ac:dyDescent="0.15">
      <c r="A43" s="4">
        <v>20040</v>
      </c>
      <c r="B43" s="4" t="s">
        <v>197</v>
      </c>
      <c r="C43" s="4">
        <v>40</v>
      </c>
      <c r="D43" s="4" t="s">
        <v>84</v>
      </c>
      <c r="E43" s="4">
        <v>1</v>
      </c>
      <c r="F43" s="3" t="str">
        <f>SkillAcquire!J43</f>
        <v>,8,3,5,,5,</v>
      </c>
      <c r="G43" s="4">
        <v>1.3</v>
      </c>
      <c r="H43" s="4">
        <v>5</v>
      </c>
      <c r="I43" s="4">
        <v>1</v>
      </c>
      <c r="J43" s="4">
        <v>3</v>
      </c>
      <c r="L43" s="4" t="s">
        <v>426</v>
      </c>
      <c r="M43" s="4">
        <v>2</v>
      </c>
      <c r="N43">
        <v>2</v>
      </c>
      <c r="V43" s="4">
        <v>1</v>
      </c>
      <c r="W43" s="4" t="b">
        <v>1</v>
      </c>
      <c r="X43" s="4">
        <v>3</v>
      </c>
      <c r="AB43" s="4" t="b">
        <v>0</v>
      </c>
      <c r="AC43" s="4">
        <v>3</v>
      </c>
    </row>
    <row r="44" spans="1:30" x14ac:dyDescent="0.15">
      <c r="A44" s="4">
        <v>20041</v>
      </c>
      <c r="B44" s="4" t="s">
        <v>193</v>
      </c>
      <c r="C44" s="4">
        <v>1</v>
      </c>
      <c r="D44" s="4" t="s">
        <v>85</v>
      </c>
      <c r="E44" s="4">
        <v>1</v>
      </c>
      <c r="F44" s="3" t="str">
        <f>SkillAcquire!J44</f>
        <v>,12,,,,,</v>
      </c>
      <c r="G44" s="4">
        <v>1.4</v>
      </c>
      <c r="H44" s="4">
        <v>1</v>
      </c>
      <c r="I44" s="4">
        <v>1</v>
      </c>
      <c r="J44" s="4">
        <v>3</v>
      </c>
      <c r="L44" s="4" t="s">
        <v>426</v>
      </c>
      <c r="M44" s="4">
        <v>2</v>
      </c>
      <c r="N44">
        <v>2</v>
      </c>
      <c r="V44" s="4">
        <v>1</v>
      </c>
      <c r="W44" s="4" t="b">
        <v>1</v>
      </c>
      <c r="X44" s="4">
        <v>3</v>
      </c>
      <c r="AB44" s="4" t="b">
        <v>0</v>
      </c>
      <c r="AC44" s="4">
        <v>3</v>
      </c>
    </row>
    <row r="45" spans="1:30" x14ac:dyDescent="0.15">
      <c r="A45" s="4">
        <v>20042</v>
      </c>
      <c r="B45" s="4" t="s">
        <v>198</v>
      </c>
      <c r="C45" s="4">
        <v>2</v>
      </c>
      <c r="D45" s="4" t="s">
        <v>86</v>
      </c>
      <c r="E45" s="4">
        <v>1</v>
      </c>
      <c r="F45" s="3" t="str">
        <f>SkillAcquire!J45</f>
        <v>,15,4,8,,8,</v>
      </c>
      <c r="G45" s="4">
        <v>1.8</v>
      </c>
      <c r="H45" s="4">
        <v>3</v>
      </c>
      <c r="I45" s="4">
        <v>1</v>
      </c>
      <c r="J45" s="4">
        <v>3</v>
      </c>
      <c r="L45" s="4" t="s">
        <v>426</v>
      </c>
      <c r="M45" s="4">
        <v>2</v>
      </c>
      <c r="N45">
        <v>2</v>
      </c>
      <c r="V45" s="4">
        <v>1</v>
      </c>
      <c r="W45" s="4" t="b">
        <v>1</v>
      </c>
      <c r="X45" s="4">
        <v>3</v>
      </c>
      <c r="AB45" s="4" t="b">
        <v>0</v>
      </c>
      <c r="AC45" s="4">
        <v>3</v>
      </c>
    </row>
    <row r="46" spans="1:30" x14ac:dyDescent="0.15">
      <c r="A46" s="4">
        <v>20043</v>
      </c>
      <c r="B46" s="4" t="s">
        <v>167</v>
      </c>
      <c r="C46" s="4">
        <v>3</v>
      </c>
      <c r="D46" s="4" t="s">
        <v>87</v>
      </c>
      <c r="E46" s="4">
        <v>3</v>
      </c>
      <c r="F46" s="3" t="str">
        <f>SkillAcquire!J46</f>
        <v>,,,1,,,</v>
      </c>
      <c r="G46" s="4">
        <v>1.1000000000000001</v>
      </c>
      <c r="H46" s="4">
        <v>2</v>
      </c>
      <c r="I46" s="4">
        <v>1</v>
      </c>
      <c r="J46" s="4">
        <v>3</v>
      </c>
      <c r="L46" s="4" t="s">
        <v>426</v>
      </c>
      <c r="M46" s="4">
        <v>2</v>
      </c>
      <c r="N46">
        <v>2</v>
      </c>
      <c r="V46" s="4">
        <v>1</v>
      </c>
      <c r="W46" s="4" t="b">
        <v>1</v>
      </c>
      <c r="X46" s="4">
        <v>3</v>
      </c>
      <c r="AB46" s="4" t="b">
        <v>0</v>
      </c>
      <c r="AC46" s="4">
        <v>3</v>
      </c>
    </row>
    <row r="47" spans="1:30" x14ac:dyDescent="0.15">
      <c r="A47" s="4">
        <v>20044</v>
      </c>
      <c r="B47" s="4" t="s">
        <v>199</v>
      </c>
      <c r="C47" s="4">
        <v>4</v>
      </c>
      <c r="D47" s="4" t="s">
        <v>88</v>
      </c>
      <c r="E47" s="4">
        <v>3</v>
      </c>
      <c r="F47" s="3" t="str">
        <f>SkillAcquire!J47</f>
        <v>,,,1,,,</v>
      </c>
      <c r="G47" s="4">
        <v>1.2</v>
      </c>
      <c r="H47" s="4">
        <v>4</v>
      </c>
      <c r="I47" s="4">
        <v>1</v>
      </c>
      <c r="J47" s="4">
        <v>3</v>
      </c>
      <c r="L47" s="4" t="s">
        <v>426</v>
      </c>
      <c r="M47" s="4">
        <v>2</v>
      </c>
      <c r="N47">
        <v>2</v>
      </c>
      <c r="V47" s="4">
        <v>1</v>
      </c>
      <c r="W47" s="4" t="b">
        <v>1</v>
      </c>
      <c r="X47" s="4">
        <v>3</v>
      </c>
      <c r="AB47" s="4" t="b">
        <v>0</v>
      </c>
      <c r="AC47" s="4">
        <v>3</v>
      </c>
    </row>
    <row r="48" spans="1:30" x14ac:dyDescent="0.15">
      <c r="A48" s="4">
        <v>20045</v>
      </c>
      <c r="B48" s="4" t="s">
        <v>168</v>
      </c>
      <c r="C48" s="4">
        <v>5</v>
      </c>
      <c r="D48" s="4" t="s">
        <v>89</v>
      </c>
      <c r="E48" s="4">
        <v>3</v>
      </c>
      <c r="F48" s="3" t="str">
        <f>SkillAcquire!J48</f>
        <v>,,,2,,,</v>
      </c>
      <c r="G48" s="4">
        <v>2</v>
      </c>
      <c r="H48" s="4">
        <v>5</v>
      </c>
      <c r="I48" s="4">
        <v>1</v>
      </c>
      <c r="J48" s="4">
        <v>3</v>
      </c>
      <c r="L48" s="4" t="s">
        <v>426</v>
      </c>
      <c r="M48" s="4">
        <v>2</v>
      </c>
      <c r="N48">
        <v>2</v>
      </c>
      <c r="V48" s="4">
        <v>1</v>
      </c>
      <c r="W48" s="4" t="b">
        <v>1</v>
      </c>
      <c r="X48" s="4">
        <v>3</v>
      </c>
      <c r="AB48" s="4" t="b">
        <v>0</v>
      </c>
      <c r="AC48" s="4">
        <v>3</v>
      </c>
    </row>
    <row r="49" spans="1:29" x14ac:dyDescent="0.15">
      <c r="A49" s="4">
        <v>20046</v>
      </c>
      <c r="B49" s="4" t="s">
        <v>200</v>
      </c>
      <c r="C49" s="4">
        <v>6</v>
      </c>
      <c r="D49" s="4" t="s">
        <v>90</v>
      </c>
      <c r="E49" s="4">
        <v>3</v>
      </c>
      <c r="F49" s="3" t="str">
        <f>SkillAcquire!J49</f>
        <v>,,,3,,1,</v>
      </c>
      <c r="G49" s="4">
        <v>1.3</v>
      </c>
      <c r="H49" s="4">
        <v>1</v>
      </c>
      <c r="I49" s="4">
        <v>1</v>
      </c>
      <c r="J49" s="4">
        <v>3</v>
      </c>
      <c r="L49" s="4" t="s">
        <v>426</v>
      </c>
      <c r="M49" s="4">
        <v>2</v>
      </c>
      <c r="N49">
        <v>2</v>
      </c>
      <c r="V49" s="4">
        <v>1</v>
      </c>
      <c r="W49" s="4" t="b">
        <v>1</v>
      </c>
      <c r="X49" s="4">
        <v>3</v>
      </c>
      <c r="AB49" s="4" t="b">
        <v>0</v>
      </c>
      <c r="AC49" s="4">
        <v>3</v>
      </c>
    </row>
    <row r="50" spans="1:29" x14ac:dyDescent="0.15">
      <c r="A50" s="4">
        <v>20047</v>
      </c>
      <c r="B50" s="4" t="s">
        <v>169</v>
      </c>
      <c r="C50" s="4">
        <v>7</v>
      </c>
      <c r="D50" s="4" t="s">
        <v>91</v>
      </c>
      <c r="E50" s="4">
        <v>3</v>
      </c>
      <c r="F50" s="3" t="str">
        <f>SkillAcquire!J50</f>
        <v>,,,5,,,</v>
      </c>
      <c r="G50" s="4">
        <v>1.4</v>
      </c>
      <c r="H50" s="4">
        <v>3</v>
      </c>
      <c r="I50" s="4">
        <v>1</v>
      </c>
      <c r="J50" s="4">
        <v>3</v>
      </c>
      <c r="L50" s="4" t="s">
        <v>426</v>
      </c>
      <c r="M50" s="4">
        <v>2</v>
      </c>
      <c r="N50">
        <v>2</v>
      </c>
      <c r="V50" s="4">
        <v>1</v>
      </c>
      <c r="W50" s="4" t="b">
        <v>1</v>
      </c>
      <c r="X50" s="4">
        <v>3</v>
      </c>
      <c r="AB50" s="4" t="b">
        <v>0</v>
      </c>
      <c r="AC50" s="4">
        <v>3</v>
      </c>
    </row>
    <row r="51" spans="1:29" x14ac:dyDescent="0.15">
      <c r="A51" s="4">
        <v>20048</v>
      </c>
      <c r="B51" s="4" t="s">
        <v>201</v>
      </c>
      <c r="C51" s="4">
        <v>8</v>
      </c>
      <c r="D51" s="4" t="s">
        <v>92</v>
      </c>
      <c r="E51" s="4">
        <v>3</v>
      </c>
      <c r="F51" s="3" t="str">
        <f>SkillAcquire!J51</f>
        <v>,,,8,,2,</v>
      </c>
      <c r="G51" s="4">
        <v>1.8</v>
      </c>
      <c r="H51" s="4">
        <v>2</v>
      </c>
      <c r="I51" s="4">
        <v>1</v>
      </c>
      <c r="J51" s="4">
        <v>3</v>
      </c>
      <c r="L51" s="4" t="s">
        <v>426</v>
      </c>
      <c r="M51" s="4">
        <v>2</v>
      </c>
      <c r="N51">
        <v>2</v>
      </c>
      <c r="V51" s="4">
        <v>1</v>
      </c>
      <c r="W51" s="4" t="b">
        <v>1</v>
      </c>
      <c r="X51" s="4">
        <v>3</v>
      </c>
      <c r="AB51" s="4" t="b">
        <v>0</v>
      </c>
      <c r="AC51" s="4">
        <v>3</v>
      </c>
    </row>
    <row r="52" spans="1:29" x14ac:dyDescent="0.15">
      <c r="A52" s="4">
        <v>20049</v>
      </c>
      <c r="B52" s="4" t="s">
        <v>202</v>
      </c>
      <c r="C52" s="4">
        <v>9</v>
      </c>
      <c r="D52" s="4" t="s">
        <v>93</v>
      </c>
      <c r="E52" s="4">
        <v>3</v>
      </c>
      <c r="F52" s="3" t="str">
        <f>SkillAcquire!J52</f>
        <v>,,1,10,,3,</v>
      </c>
      <c r="G52" s="4">
        <v>1.1000000000000001</v>
      </c>
      <c r="H52" s="4">
        <v>4</v>
      </c>
      <c r="I52" s="4">
        <v>1</v>
      </c>
      <c r="J52" s="4">
        <v>3</v>
      </c>
      <c r="L52" s="4" t="s">
        <v>426</v>
      </c>
      <c r="M52" s="4">
        <v>2</v>
      </c>
      <c r="N52">
        <v>2</v>
      </c>
      <c r="V52" s="4">
        <v>1</v>
      </c>
      <c r="W52" s="4" t="b">
        <v>1</v>
      </c>
      <c r="X52" s="4">
        <v>3</v>
      </c>
      <c r="AB52" s="4" t="b">
        <v>0</v>
      </c>
      <c r="AC52" s="4">
        <v>3</v>
      </c>
    </row>
    <row r="53" spans="1:29" x14ac:dyDescent="0.15">
      <c r="A53" s="4">
        <v>20050</v>
      </c>
      <c r="B53" s="4" t="s">
        <v>203</v>
      </c>
      <c r="C53" s="4">
        <v>10</v>
      </c>
      <c r="D53" s="4" t="s">
        <v>94</v>
      </c>
      <c r="E53" s="4">
        <v>3</v>
      </c>
      <c r="F53" s="3" t="str">
        <f>SkillAcquire!J53</f>
        <v>,,,12,,5,</v>
      </c>
      <c r="G53" s="4">
        <v>1.2</v>
      </c>
      <c r="H53" s="4">
        <v>5</v>
      </c>
      <c r="I53" s="4">
        <v>1</v>
      </c>
      <c r="J53" s="4">
        <v>3</v>
      </c>
      <c r="L53" s="4" t="s">
        <v>426</v>
      </c>
      <c r="M53" s="4">
        <v>2</v>
      </c>
      <c r="N53">
        <v>2</v>
      </c>
      <c r="V53" s="4">
        <v>1</v>
      </c>
      <c r="W53" s="4" t="b">
        <v>1</v>
      </c>
      <c r="X53" s="4">
        <v>3</v>
      </c>
      <c r="AB53" s="4" t="b">
        <v>0</v>
      </c>
      <c r="AC53" s="4">
        <v>3</v>
      </c>
    </row>
    <row r="54" spans="1:29" x14ac:dyDescent="0.15">
      <c r="A54" s="4">
        <v>20051</v>
      </c>
      <c r="B54" s="4" t="s">
        <v>204</v>
      </c>
      <c r="C54" s="4">
        <v>11</v>
      </c>
      <c r="D54" s="4" t="s">
        <v>95</v>
      </c>
      <c r="E54" s="4">
        <v>3</v>
      </c>
      <c r="F54" s="3" t="str">
        <f>SkillAcquire!J54</f>
        <v>,,,15,,8,</v>
      </c>
      <c r="G54" s="4">
        <v>2</v>
      </c>
      <c r="H54" s="4">
        <v>1</v>
      </c>
      <c r="I54" s="4">
        <v>1</v>
      </c>
      <c r="J54" s="4">
        <v>3</v>
      </c>
      <c r="L54" s="4" t="s">
        <v>426</v>
      </c>
      <c r="M54" s="4">
        <v>2</v>
      </c>
      <c r="N54">
        <v>2</v>
      </c>
      <c r="V54" s="4">
        <v>1</v>
      </c>
      <c r="W54" s="4" t="b">
        <v>1</v>
      </c>
      <c r="X54" s="4">
        <v>3</v>
      </c>
      <c r="AB54" s="4" t="b">
        <v>0</v>
      </c>
      <c r="AC54" s="4">
        <v>3</v>
      </c>
    </row>
    <row r="55" spans="1:29" x14ac:dyDescent="0.15">
      <c r="A55" s="4">
        <v>20052</v>
      </c>
      <c r="B55" s="4" t="s">
        <v>205</v>
      </c>
      <c r="C55" s="4">
        <v>12</v>
      </c>
      <c r="D55" s="4" t="s">
        <v>96</v>
      </c>
      <c r="E55" s="4">
        <v>3</v>
      </c>
      <c r="F55" s="3" t="str">
        <f>SkillAcquire!J55</f>
        <v>,,3,20,,5,</v>
      </c>
      <c r="G55" s="4">
        <v>1.3</v>
      </c>
      <c r="H55" s="4">
        <v>3</v>
      </c>
      <c r="I55" s="4">
        <v>1</v>
      </c>
      <c r="J55" s="4">
        <v>3</v>
      </c>
      <c r="L55" s="4" t="s">
        <v>426</v>
      </c>
      <c r="M55" s="4">
        <v>2</v>
      </c>
      <c r="N55">
        <v>2</v>
      </c>
      <c r="V55" s="4">
        <v>1</v>
      </c>
      <c r="W55" s="4" t="b">
        <v>1</v>
      </c>
      <c r="X55" s="4">
        <v>3</v>
      </c>
      <c r="AB55" s="4" t="b">
        <v>0</v>
      </c>
      <c r="AC55" s="4">
        <v>3</v>
      </c>
    </row>
    <row r="56" spans="1:29" x14ac:dyDescent="0.15">
      <c r="A56" s="4">
        <v>20053</v>
      </c>
      <c r="B56" s="4" t="s">
        <v>170</v>
      </c>
      <c r="C56" s="4">
        <v>13</v>
      </c>
      <c r="D56" s="4" t="s">
        <v>97</v>
      </c>
      <c r="E56" s="4">
        <v>4</v>
      </c>
      <c r="F56" s="3" t="str">
        <f>SkillAcquire!J56</f>
        <v>,,,,1,,</v>
      </c>
      <c r="G56" s="4">
        <v>1.4</v>
      </c>
      <c r="H56" s="4">
        <v>2</v>
      </c>
      <c r="I56" s="4">
        <v>1</v>
      </c>
      <c r="J56" s="4">
        <v>3</v>
      </c>
      <c r="L56" s="4" t="s">
        <v>426</v>
      </c>
      <c r="M56" s="4">
        <v>2</v>
      </c>
      <c r="N56">
        <v>2</v>
      </c>
      <c r="V56" s="4">
        <v>1</v>
      </c>
      <c r="W56" s="4" t="b">
        <v>1</v>
      </c>
      <c r="X56" s="4">
        <v>3</v>
      </c>
      <c r="AB56" s="4" t="b">
        <v>0</v>
      </c>
      <c r="AC56" s="4">
        <v>3</v>
      </c>
    </row>
    <row r="57" spans="1:29" x14ac:dyDescent="0.15">
      <c r="A57" s="4">
        <v>20054</v>
      </c>
      <c r="B57" s="4" t="s">
        <v>206</v>
      </c>
      <c r="C57" s="4">
        <v>14</v>
      </c>
      <c r="D57" s="4" t="s">
        <v>98</v>
      </c>
      <c r="E57" s="4">
        <v>4</v>
      </c>
      <c r="F57" s="3" t="str">
        <f>SkillAcquire!J57</f>
        <v>,,,,1,,</v>
      </c>
      <c r="G57" s="4">
        <v>1.8</v>
      </c>
      <c r="H57" s="4">
        <v>4</v>
      </c>
      <c r="I57" s="4">
        <v>1</v>
      </c>
      <c r="J57" s="4">
        <v>3</v>
      </c>
      <c r="L57" s="4" t="s">
        <v>426</v>
      </c>
      <c r="M57" s="4">
        <v>2</v>
      </c>
      <c r="N57">
        <v>2</v>
      </c>
      <c r="V57" s="4">
        <v>1</v>
      </c>
      <c r="W57" s="4" t="b">
        <v>1</v>
      </c>
      <c r="X57" s="4">
        <v>3</v>
      </c>
      <c r="AB57" s="4" t="b">
        <v>0</v>
      </c>
      <c r="AC57" s="4">
        <v>3</v>
      </c>
    </row>
    <row r="58" spans="1:29" x14ac:dyDescent="0.15">
      <c r="A58" s="4">
        <v>20055</v>
      </c>
      <c r="B58" s="4" t="s">
        <v>177</v>
      </c>
      <c r="C58" s="4">
        <v>15</v>
      </c>
      <c r="D58" s="4" t="s">
        <v>99</v>
      </c>
      <c r="E58" s="4">
        <v>4</v>
      </c>
      <c r="F58" s="3" t="str">
        <f>SkillAcquire!J58</f>
        <v>,,,,3,,</v>
      </c>
      <c r="G58" s="4">
        <v>1.1000000000000001</v>
      </c>
      <c r="H58" s="4">
        <v>5</v>
      </c>
      <c r="I58" s="4">
        <v>1</v>
      </c>
      <c r="J58" s="4">
        <v>3</v>
      </c>
      <c r="L58" s="4" t="s">
        <v>426</v>
      </c>
      <c r="M58" s="4">
        <v>2</v>
      </c>
      <c r="N58">
        <v>2</v>
      </c>
      <c r="V58" s="4">
        <v>1</v>
      </c>
      <c r="W58" s="4" t="b">
        <v>1</v>
      </c>
      <c r="X58" s="4">
        <v>3</v>
      </c>
      <c r="AB58" s="4" t="b">
        <v>0</v>
      </c>
      <c r="AC58" s="4">
        <v>3</v>
      </c>
    </row>
    <row r="59" spans="1:29" x14ac:dyDescent="0.15">
      <c r="A59" s="4">
        <v>20056</v>
      </c>
      <c r="B59" s="4" t="s">
        <v>207</v>
      </c>
      <c r="C59" s="4">
        <v>16</v>
      </c>
      <c r="D59" s="4" t="s">
        <v>100</v>
      </c>
      <c r="E59" s="4">
        <v>4</v>
      </c>
      <c r="F59" s="3" t="str">
        <f>SkillAcquire!J59</f>
        <v>,,,,6,3,3</v>
      </c>
      <c r="G59" s="4">
        <v>1.2</v>
      </c>
      <c r="H59" s="4">
        <v>1</v>
      </c>
      <c r="I59" s="4">
        <v>1</v>
      </c>
      <c r="J59" s="4">
        <v>3</v>
      </c>
      <c r="L59" s="4" t="s">
        <v>426</v>
      </c>
      <c r="M59" s="4">
        <v>2</v>
      </c>
      <c r="N59">
        <v>2</v>
      </c>
      <c r="V59" s="4">
        <v>1</v>
      </c>
      <c r="W59" s="4" t="b">
        <v>1</v>
      </c>
      <c r="X59" s="4">
        <v>3</v>
      </c>
      <c r="AB59" s="4" t="b">
        <v>0</v>
      </c>
      <c r="AC59" s="4">
        <v>3</v>
      </c>
    </row>
    <row r="60" spans="1:29" x14ac:dyDescent="0.15">
      <c r="A60" s="4">
        <v>20057</v>
      </c>
      <c r="B60" s="4" t="s">
        <v>208</v>
      </c>
      <c r="C60" s="4">
        <v>17</v>
      </c>
      <c r="D60" s="4" t="s">
        <v>101</v>
      </c>
      <c r="E60" s="4">
        <v>4</v>
      </c>
      <c r="F60" s="3" t="str">
        <f>SkillAcquire!J60</f>
        <v>,,,,7,,</v>
      </c>
      <c r="G60" s="4">
        <v>2</v>
      </c>
      <c r="H60" s="4">
        <v>3</v>
      </c>
      <c r="I60" s="4">
        <v>1</v>
      </c>
      <c r="J60" s="4">
        <v>3</v>
      </c>
      <c r="L60" s="4" t="s">
        <v>426</v>
      </c>
      <c r="M60" s="4">
        <v>2</v>
      </c>
      <c r="N60">
        <v>2</v>
      </c>
      <c r="V60" s="4">
        <v>1</v>
      </c>
      <c r="W60" s="4" t="b">
        <v>1</v>
      </c>
      <c r="X60" s="4">
        <v>3</v>
      </c>
      <c r="AB60" s="4" t="b">
        <v>0</v>
      </c>
      <c r="AC60" s="4">
        <v>3</v>
      </c>
    </row>
    <row r="61" spans="1:29" x14ac:dyDescent="0.15">
      <c r="A61" s="4">
        <v>20058</v>
      </c>
      <c r="B61" s="4" t="s">
        <v>178</v>
      </c>
      <c r="C61" s="4">
        <v>18</v>
      </c>
      <c r="D61" s="4" t="s">
        <v>102</v>
      </c>
      <c r="E61" s="4">
        <v>4</v>
      </c>
      <c r="F61" s="3" t="str">
        <f>SkillAcquire!J61</f>
        <v>,,,1,7,3,</v>
      </c>
      <c r="G61" s="4">
        <v>1.3</v>
      </c>
      <c r="H61" s="4">
        <v>2</v>
      </c>
      <c r="I61" s="4">
        <v>1</v>
      </c>
      <c r="J61" s="4">
        <v>3</v>
      </c>
      <c r="L61" s="4" t="s">
        <v>426</v>
      </c>
      <c r="M61" s="4">
        <v>2</v>
      </c>
      <c r="N61">
        <v>2</v>
      </c>
      <c r="V61" s="4">
        <v>1</v>
      </c>
      <c r="W61" s="4" t="b">
        <v>1</v>
      </c>
      <c r="X61" s="4">
        <v>3</v>
      </c>
      <c r="AB61" s="4" t="b">
        <v>0</v>
      </c>
      <c r="AC61" s="4">
        <v>3</v>
      </c>
    </row>
    <row r="62" spans="1:29" x14ac:dyDescent="0.15">
      <c r="A62" s="4">
        <v>20059</v>
      </c>
      <c r="B62" s="4" t="s">
        <v>180</v>
      </c>
      <c r="C62" s="4">
        <v>19</v>
      </c>
      <c r="D62" s="4" t="s">
        <v>103</v>
      </c>
      <c r="E62" s="4">
        <v>4</v>
      </c>
      <c r="F62" s="3" t="str">
        <f>SkillAcquire!J62</f>
        <v>,,,,8,4,</v>
      </c>
      <c r="G62" s="4">
        <v>1.4</v>
      </c>
      <c r="H62" s="4">
        <v>4</v>
      </c>
      <c r="I62" s="4">
        <v>1</v>
      </c>
      <c r="J62" s="4">
        <v>3</v>
      </c>
      <c r="L62" s="4" t="s">
        <v>426</v>
      </c>
      <c r="M62" s="4">
        <v>2</v>
      </c>
      <c r="N62">
        <v>2</v>
      </c>
      <c r="V62" s="4">
        <v>1</v>
      </c>
      <c r="W62" s="4" t="b">
        <v>1</v>
      </c>
      <c r="X62" s="4">
        <v>3</v>
      </c>
      <c r="AB62" s="4" t="b">
        <v>0</v>
      </c>
      <c r="AC62" s="4">
        <v>3</v>
      </c>
    </row>
    <row r="63" spans="1:29" x14ac:dyDescent="0.15">
      <c r="A63" s="4">
        <v>20060</v>
      </c>
      <c r="B63" s="4" t="s">
        <v>171</v>
      </c>
      <c r="C63" s="4">
        <v>20</v>
      </c>
      <c r="D63" s="4" t="s">
        <v>104</v>
      </c>
      <c r="E63" s="4">
        <v>4</v>
      </c>
      <c r="F63" s="3" t="str">
        <f>SkillAcquire!J63</f>
        <v>,,,,9,,</v>
      </c>
      <c r="G63" s="4">
        <v>1.8</v>
      </c>
      <c r="H63" s="4">
        <v>5</v>
      </c>
      <c r="I63" s="4">
        <v>1</v>
      </c>
      <c r="J63" s="4">
        <v>3</v>
      </c>
      <c r="L63" s="4" t="s">
        <v>426</v>
      </c>
      <c r="M63" s="4">
        <v>2</v>
      </c>
      <c r="N63">
        <v>2</v>
      </c>
      <c r="V63" s="4">
        <v>1</v>
      </c>
      <c r="W63" s="4" t="b">
        <v>1</v>
      </c>
      <c r="X63" s="4">
        <v>3</v>
      </c>
      <c r="AB63" s="4" t="b">
        <v>0</v>
      </c>
      <c r="AC63" s="4">
        <v>3</v>
      </c>
    </row>
    <row r="64" spans="1:29" x14ac:dyDescent="0.15">
      <c r="A64" s="4">
        <v>20061</v>
      </c>
      <c r="B64" s="4" t="s">
        <v>209</v>
      </c>
      <c r="C64" s="4">
        <v>21</v>
      </c>
      <c r="D64" s="4" t="s">
        <v>105</v>
      </c>
      <c r="E64" s="4">
        <v>4</v>
      </c>
      <c r="F64" s="3" t="str">
        <f>SkillAcquire!J64</f>
        <v>,,,4,10,4,4</v>
      </c>
      <c r="G64" s="4">
        <v>1.1000000000000001</v>
      </c>
      <c r="H64" s="4">
        <v>1</v>
      </c>
      <c r="I64" s="4">
        <v>1</v>
      </c>
      <c r="J64" s="4">
        <v>3</v>
      </c>
      <c r="L64" s="4" t="s">
        <v>426</v>
      </c>
      <c r="M64" s="4">
        <v>2</v>
      </c>
      <c r="N64">
        <v>2</v>
      </c>
      <c r="V64" s="4">
        <v>1</v>
      </c>
      <c r="W64" s="4" t="b">
        <v>1</v>
      </c>
      <c r="X64" s="4">
        <v>3</v>
      </c>
      <c r="AB64" s="4" t="b">
        <v>0</v>
      </c>
      <c r="AC64" s="4">
        <v>3</v>
      </c>
    </row>
    <row r="65" spans="1:29" x14ac:dyDescent="0.15">
      <c r="A65" s="4">
        <v>20062</v>
      </c>
      <c r="B65" s="4" t="s">
        <v>179</v>
      </c>
      <c r="C65" s="4">
        <v>22</v>
      </c>
      <c r="D65" s="4" t="s">
        <v>106</v>
      </c>
      <c r="E65" s="4">
        <v>4</v>
      </c>
      <c r="F65" s="3" t="str">
        <f>SkillAcquire!J65</f>
        <v>,,,4,12,8,</v>
      </c>
      <c r="G65" s="4">
        <v>1.2</v>
      </c>
      <c r="H65" s="4">
        <v>3</v>
      </c>
      <c r="I65" s="4">
        <v>1</v>
      </c>
      <c r="J65" s="4">
        <v>3</v>
      </c>
      <c r="L65" s="4" t="s">
        <v>426</v>
      </c>
      <c r="M65" s="4">
        <v>2</v>
      </c>
      <c r="N65">
        <v>2</v>
      </c>
      <c r="V65" s="4">
        <v>1</v>
      </c>
      <c r="W65" s="4" t="b">
        <v>1</v>
      </c>
      <c r="X65" s="4">
        <v>3</v>
      </c>
      <c r="AB65" s="4" t="b">
        <v>0</v>
      </c>
      <c r="AC65" s="4">
        <v>3</v>
      </c>
    </row>
    <row r="66" spans="1:29" x14ac:dyDescent="0.15">
      <c r="A66" s="4">
        <v>20063</v>
      </c>
      <c r="B66" s="4" t="s">
        <v>210</v>
      </c>
      <c r="C66" s="4">
        <v>23</v>
      </c>
      <c r="D66" s="4" t="s">
        <v>107</v>
      </c>
      <c r="E66" s="4">
        <v>4</v>
      </c>
      <c r="F66" s="3" t="str">
        <f>SkillAcquire!J66</f>
        <v>,,,,15,10,10</v>
      </c>
      <c r="G66" s="4">
        <v>2</v>
      </c>
      <c r="H66" s="4">
        <v>2</v>
      </c>
      <c r="I66" s="4">
        <v>1</v>
      </c>
      <c r="J66" s="4">
        <v>3</v>
      </c>
      <c r="L66" s="4" t="s">
        <v>426</v>
      </c>
      <c r="M66" s="4">
        <v>2</v>
      </c>
      <c r="N66">
        <v>2</v>
      </c>
      <c r="V66" s="4">
        <v>1</v>
      </c>
      <c r="W66" s="4" t="b">
        <v>1</v>
      </c>
      <c r="X66" s="4">
        <v>3</v>
      </c>
      <c r="AB66" s="4" t="b">
        <v>0</v>
      </c>
      <c r="AC66" s="4">
        <v>3</v>
      </c>
    </row>
    <row r="67" spans="1:29" x14ac:dyDescent="0.15">
      <c r="A67" s="4">
        <v>20064</v>
      </c>
      <c r="B67" s="4" t="s">
        <v>211</v>
      </c>
      <c r="C67" s="4">
        <v>24</v>
      </c>
      <c r="D67" s="4" t="s">
        <v>108</v>
      </c>
      <c r="E67" s="4">
        <v>4</v>
      </c>
      <c r="F67" s="3" t="str">
        <f>SkillAcquire!J67</f>
        <v>,,,6,18,6,6</v>
      </c>
      <c r="G67" s="4">
        <v>1.3</v>
      </c>
      <c r="H67" s="4">
        <v>4</v>
      </c>
      <c r="I67" s="4">
        <v>1</v>
      </c>
      <c r="J67" s="4">
        <v>3</v>
      </c>
      <c r="L67" s="4" t="s">
        <v>426</v>
      </c>
      <c r="M67" s="4">
        <v>2</v>
      </c>
      <c r="N67">
        <v>2</v>
      </c>
      <c r="V67" s="4">
        <v>1</v>
      </c>
      <c r="W67" s="4" t="b">
        <v>1</v>
      </c>
      <c r="X67" s="4">
        <v>3</v>
      </c>
      <c r="AB67" s="4" t="b">
        <v>0</v>
      </c>
      <c r="AC67" s="4">
        <v>3</v>
      </c>
    </row>
    <row r="68" spans="1:29" x14ac:dyDescent="0.15">
      <c r="A68" s="4">
        <v>20065</v>
      </c>
      <c r="B68" s="4" t="s">
        <v>212</v>
      </c>
      <c r="C68" s="4">
        <v>25</v>
      </c>
      <c r="D68" s="4" t="s">
        <v>109</v>
      </c>
      <c r="E68" s="4">
        <v>5</v>
      </c>
      <c r="F68" s="3" t="str">
        <f>SkillAcquire!J68</f>
        <v>,,,,,4,</v>
      </c>
      <c r="G68" s="4">
        <v>1.4</v>
      </c>
      <c r="H68" s="4">
        <v>5</v>
      </c>
      <c r="I68" s="4">
        <v>1</v>
      </c>
      <c r="J68" s="4">
        <v>3</v>
      </c>
      <c r="L68" s="4" t="s">
        <v>426</v>
      </c>
      <c r="M68" s="4">
        <v>2</v>
      </c>
      <c r="N68">
        <v>2</v>
      </c>
      <c r="V68" s="4">
        <v>1</v>
      </c>
      <c r="W68" s="4" t="b">
        <v>1</v>
      </c>
      <c r="X68" s="4">
        <v>3</v>
      </c>
      <c r="AB68" s="4" t="b">
        <v>0</v>
      </c>
      <c r="AC68" s="4">
        <v>3</v>
      </c>
    </row>
    <row r="69" spans="1:29" x14ac:dyDescent="0.15">
      <c r="A69" s="4">
        <v>20066</v>
      </c>
      <c r="B69" s="4" t="s">
        <v>172</v>
      </c>
      <c r="C69" s="4">
        <v>26</v>
      </c>
      <c r="D69" s="4" t="s">
        <v>110</v>
      </c>
      <c r="E69" s="4">
        <v>5</v>
      </c>
      <c r="F69" s="3" t="str">
        <f>SkillAcquire!J69</f>
        <v>1,1,1,1,,6,</v>
      </c>
      <c r="G69" s="4">
        <v>1.8</v>
      </c>
      <c r="H69" s="4">
        <v>1</v>
      </c>
      <c r="I69" s="4">
        <v>1</v>
      </c>
      <c r="J69" s="4">
        <v>3</v>
      </c>
      <c r="L69" s="4" t="s">
        <v>426</v>
      </c>
      <c r="M69" s="4">
        <v>2</v>
      </c>
      <c r="N69">
        <v>2</v>
      </c>
      <c r="V69" s="4">
        <v>1</v>
      </c>
      <c r="W69" s="4" t="b">
        <v>1</v>
      </c>
      <c r="X69" s="4">
        <v>3</v>
      </c>
      <c r="AB69" s="4" t="b">
        <v>0</v>
      </c>
      <c r="AC69" s="4">
        <v>3</v>
      </c>
    </row>
    <row r="70" spans="1:29" x14ac:dyDescent="0.15">
      <c r="A70" s="4">
        <v>20067</v>
      </c>
      <c r="B70" s="4" t="s">
        <v>213</v>
      </c>
      <c r="C70" s="4">
        <v>27</v>
      </c>
      <c r="D70" s="4" t="s">
        <v>111</v>
      </c>
      <c r="E70" s="4">
        <v>5</v>
      </c>
      <c r="F70" s="3" t="str">
        <f>SkillAcquire!J70</f>
        <v>,3,3,5,,12,</v>
      </c>
      <c r="G70" s="4">
        <v>1.1000000000000001</v>
      </c>
      <c r="H70" s="4">
        <v>3</v>
      </c>
      <c r="I70" s="4">
        <v>1</v>
      </c>
      <c r="J70" s="4">
        <v>3</v>
      </c>
      <c r="L70" s="4" t="s">
        <v>426</v>
      </c>
      <c r="M70" s="4">
        <v>2</v>
      </c>
      <c r="N70">
        <v>2</v>
      </c>
      <c r="V70" s="4">
        <v>1</v>
      </c>
      <c r="W70" s="4" t="b">
        <v>1</v>
      </c>
      <c r="X70" s="4">
        <v>3</v>
      </c>
      <c r="AB70" s="4" t="b">
        <v>0</v>
      </c>
      <c r="AC70" s="4">
        <v>3</v>
      </c>
    </row>
    <row r="71" spans="1:29" x14ac:dyDescent="0.15">
      <c r="A71" s="4">
        <v>20068</v>
      </c>
      <c r="B71" s="4" t="s">
        <v>174</v>
      </c>
      <c r="C71" s="4">
        <v>28</v>
      </c>
      <c r="D71" s="4" t="s">
        <v>112</v>
      </c>
      <c r="E71" s="4">
        <v>6</v>
      </c>
      <c r="F71" s="3" t="str">
        <f>SkillAcquire!J71</f>
        <v>1,1,1,1,,1,3</v>
      </c>
      <c r="G71" s="4">
        <v>1.2</v>
      </c>
      <c r="H71" s="4">
        <v>2</v>
      </c>
      <c r="I71" s="4">
        <v>1</v>
      </c>
      <c r="J71" s="4">
        <v>3</v>
      </c>
      <c r="L71" s="4" t="s">
        <v>426</v>
      </c>
      <c r="M71" s="4">
        <v>2</v>
      </c>
      <c r="N71">
        <v>2</v>
      </c>
      <c r="V71" s="4">
        <v>1</v>
      </c>
      <c r="W71" s="4" t="b">
        <v>1</v>
      </c>
      <c r="X71" s="4">
        <v>3</v>
      </c>
      <c r="AB71" s="4" t="b">
        <v>0</v>
      </c>
      <c r="AC71" s="4">
        <v>3</v>
      </c>
    </row>
    <row r="72" spans="1:29" x14ac:dyDescent="0.15">
      <c r="A72" s="4">
        <v>20069</v>
      </c>
      <c r="B72" s="4" t="s">
        <v>182</v>
      </c>
      <c r="C72" s="4">
        <v>29</v>
      </c>
      <c r="D72" s="4" t="s">
        <v>113</v>
      </c>
      <c r="E72" s="4">
        <v>6</v>
      </c>
      <c r="F72" s="3" t="str">
        <f>SkillAcquire!J72</f>
        <v>,,3,3,,3,5</v>
      </c>
      <c r="G72" s="4">
        <v>2</v>
      </c>
      <c r="H72" s="4">
        <v>4</v>
      </c>
      <c r="I72" s="4">
        <v>1</v>
      </c>
      <c r="J72" s="4">
        <v>3</v>
      </c>
      <c r="L72" s="4" t="s">
        <v>426</v>
      </c>
      <c r="M72" s="4">
        <v>2</v>
      </c>
      <c r="N72">
        <v>2</v>
      </c>
      <c r="V72" s="4">
        <v>1</v>
      </c>
      <c r="W72" s="4" t="b">
        <v>1</v>
      </c>
      <c r="X72" s="4">
        <v>3</v>
      </c>
      <c r="AB72" s="4" t="b">
        <v>0</v>
      </c>
      <c r="AC72" s="4">
        <v>3</v>
      </c>
    </row>
    <row r="73" spans="1:29" x14ac:dyDescent="0.15">
      <c r="A73" s="4">
        <v>20070</v>
      </c>
      <c r="B73" s="4" t="s">
        <v>183</v>
      </c>
      <c r="C73" s="4">
        <v>30</v>
      </c>
      <c r="D73" s="4" t="s">
        <v>114</v>
      </c>
      <c r="E73" s="4">
        <v>6</v>
      </c>
      <c r="F73" s="3" t="str">
        <f>SkillAcquire!J73</f>
        <v>,,2,2,,2,6</v>
      </c>
      <c r="G73" s="4">
        <v>1.3</v>
      </c>
      <c r="H73" s="4">
        <v>5</v>
      </c>
      <c r="I73" s="4">
        <v>1</v>
      </c>
      <c r="J73" s="4">
        <v>3</v>
      </c>
      <c r="L73" s="4" t="s">
        <v>426</v>
      </c>
      <c r="M73" s="4">
        <v>2</v>
      </c>
      <c r="N73">
        <v>2</v>
      </c>
      <c r="V73" s="4">
        <v>1</v>
      </c>
      <c r="W73" s="4" t="b">
        <v>1</v>
      </c>
      <c r="X73" s="4">
        <v>3</v>
      </c>
      <c r="AB73" s="4" t="b">
        <v>0</v>
      </c>
      <c r="AC73" s="4">
        <v>3</v>
      </c>
    </row>
    <row r="74" spans="1:29" x14ac:dyDescent="0.15">
      <c r="A74" s="4">
        <v>20071</v>
      </c>
      <c r="B74" s="4" t="s">
        <v>181</v>
      </c>
      <c r="C74" s="4">
        <v>31</v>
      </c>
      <c r="D74" s="4" t="s">
        <v>115</v>
      </c>
      <c r="E74" s="4">
        <v>6</v>
      </c>
      <c r="F74" s="3" t="str">
        <f>SkillAcquire!J74</f>
        <v>,,,,,,7</v>
      </c>
      <c r="G74" s="4">
        <v>1.4</v>
      </c>
      <c r="H74" s="4">
        <v>1</v>
      </c>
      <c r="I74" s="4">
        <v>1</v>
      </c>
      <c r="J74" s="4">
        <v>3</v>
      </c>
      <c r="L74" s="4" t="s">
        <v>426</v>
      </c>
      <c r="M74" s="4">
        <v>2</v>
      </c>
      <c r="N74">
        <v>2</v>
      </c>
      <c r="V74" s="4">
        <v>1</v>
      </c>
      <c r="W74" s="4" t="b">
        <v>1</v>
      </c>
      <c r="X74" s="4">
        <v>3</v>
      </c>
      <c r="AB74" s="4" t="b">
        <v>0</v>
      </c>
      <c r="AC74" s="4">
        <v>3</v>
      </c>
    </row>
    <row r="75" spans="1:29" x14ac:dyDescent="0.15">
      <c r="A75" s="4">
        <v>20072</v>
      </c>
      <c r="B75" s="4" t="s">
        <v>175</v>
      </c>
      <c r="C75" s="4">
        <v>32</v>
      </c>
      <c r="D75" s="4" t="s">
        <v>116</v>
      </c>
      <c r="E75" s="4">
        <v>6</v>
      </c>
      <c r="F75" s="3" t="str">
        <f>SkillAcquire!J75</f>
        <v>4,4,4,4,,4,8</v>
      </c>
      <c r="G75" s="4">
        <v>1.8</v>
      </c>
      <c r="H75" s="4">
        <v>3</v>
      </c>
      <c r="I75" s="4">
        <v>1</v>
      </c>
      <c r="J75" s="4">
        <v>3</v>
      </c>
      <c r="L75" s="4" t="s">
        <v>426</v>
      </c>
      <c r="M75" s="4">
        <v>2</v>
      </c>
      <c r="N75">
        <v>2</v>
      </c>
      <c r="V75" s="4">
        <v>1</v>
      </c>
      <c r="W75" s="4" t="b">
        <v>1</v>
      </c>
      <c r="X75" s="4">
        <v>3</v>
      </c>
      <c r="AB75" s="4" t="b">
        <v>0</v>
      </c>
      <c r="AC75" s="4">
        <v>3</v>
      </c>
    </row>
    <row r="76" spans="1:29" x14ac:dyDescent="0.15">
      <c r="A76" s="4">
        <v>20073</v>
      </c>
      <c r="B76" s="4" t="s">
        <v>184</v>
      </c>
      <c r="C76" s="4">
        <v>33</v>
      </c>
      <c r="D76" s="4" t="s">
        <v>117</v>
      </c>
      <c r="E76" s="4">
        <v>6</v>
      </c>
      <c r="F76" s="3" t="str">
        <f>SkillAcquire!J76</f>
        <v>,,,,4,12,20</v>
      </c>
      <c r="G76" s="4">
        <v>1.1000000000000001</v>
      </c>
      <c r="H76" s="4">
        <v>2</v>
      </c>
      <c r="I76" s="4">
        <v>1</v>
      </c>
      <c r="J76" s="4">
        <v>3</v>
      </c>
      <c r="L76" s="4" t="s">
        <v>426</v>
      </c>
      <c r="M76" s="4">
        <v>2</v>
      </c>
      <c r="N76">
        <v>2</v>
      </c>
      <c r="V76" s="4">
        <v>1</v>
      </c>
      <c r="W76" s="4" t="b">
        <v>1</v>
      </c>
      <c r="X76" s="4">
        <v>3</v>
      </c>
      <c r="AB76" s="4" t="b">
        <v>0</v>
      </c>
      <c r="AC76" s="4">
        <v>3</v>
      </c>
    </row>
    <row r="77" spans="1:29" x14ac:dyDescent="0.15">
      <c r="A77" s="4">
        <v>20074</v>
      </c>
      <c r="B77" s="4" t="s">
        <v>173</v>
      </c>
      <c r="C77" s="4">
        <v>34</v>
      </c>
      <c r="D77" s="4" t="s">
        <v>228</v>
      </c>
      <c r="E77" s="4">
        <v>5</v>
      </c>
      <c r="F77" s="3" t="str">
        <f>SkillAcquire!J77</f>
        <v>,,2,,,19,12</v>
      </c>
      <c r="G77" s="4">
        <v>1.1000000000000001</v>
      </c>
      <c r="H77" s="4">
        <v>2</v>
      </c>
      <c r="I77" s="4">
        <v>1</v>
      </c>
      <c r="J77" s="4">
        <v>3</v>
      </c>
      <c r="L77" s="4" t="s">
        <v>426</v>
      </c>
      <c r="M77" s="4">
        <v>2</v>
      </c>
      <c r="N77">
        <v>2</v>
      </c>
      <c r="V77" s="4">
        <v>1</v>
      </c>
      <c r="W77" s="4" t="b">
        <v>1</v>
      </c>
      <c r="X77" s="4">
        <v>3</v>
      </c>
      <c r="AB77" s="4" t="b">
        <v>0</v>
      </c>
      <c r="AC77" s="4">
        <v>3</v>
      </c>
    </row>
    <row r="78" spans="1:29" x14ac:dyDescent="0.15">
      <c r="A78" s="4">
        <v>20075</v>
      </c>
      <c r="B78" s="4" t="s">
        <v>176</v>
      </c>
      <c r="C78" s="4">
        <v>35</v>
      </c>
      <c r="D78" s="4" t="s">
        <v>229</v>
      </c>
      <c r="E78" s="4">
        <v>6</v>
      </c>
      <c r="F78" s="3" t="str">
        <f>SkillAcquire!J78</f>
        <v>18,,,,,,24</v>
      </c>
      <c r="G78" s="4">
        <v>1.1000000000000001</v>
      </c>
      <c r="H78" s="4">
        <v>2</v>
      </c>
      <c r="I78" s="4">
        <v>1</v>
      </c>
      <c r="J78" s="4">
        <v>3</v>
      </c>
      <c r="L78" s="4" t="s">
        <v>426</v>
      </c>
      <c r="M78" s="4">
        <v>2</v>
      </c>
      <c r="N78">
        <v>2</v>
      </c>
      <c r="V78" s="4">
        <v>1</v>
      </c>
      <c r="W78" s="4" t="b">
        <v>1</v>
      </c>
      <c r="X78" s="4">
        <v>3</v>
      </c>
      <c r="AB78" s="4" t="b">
        <v>0</v>
      </c>
      <c r="AC78" s="4">
        <v>3</v>
      </c>
    </row>
    <row r="79" spans="1:29" x14ac:dyDescent="0.15">
      <c r="A79" s="4">
        <v>20076</v>
      </c>
      <c r="B79" s="4" t="s">
        <v>185</v>
      </c>
      <c r="C79" s="4">
        <v>36</v>
      </c>
      <c r="D79" s="4" t="s">
        <v>230</v>
      </c>
      <c r="E79" s="4">
        <v>6</v>
      </c>
      <c r="F79" s="3" t="str">
        <f>SkillAcquire!J79</f>
        <v>3,,,3,,12,21</v>
      </c>
      <c r="G79" s="4">
        <v>1.1000000000000001</v>
      </c>
      <c r="H79" s="4">
        <v>2</v>
      </c>
      <c r="I79" s="4">
        <v>1</v>
      </c>
      <c r="J79" s="4">
        <v>3</v>
      </c>
      <c r="L79" s="4" t="s">
        <v>426</v>
      </c>
      <c r="M79" s="4">
        <v>2</v>
      </c>
      <c r="N79">
        <v>2</v>
      </c>
      <c r="V79" s="4">
        <v>1</v>
      </c>
      <c r="W79" s="4" t="b">
        <v>1</v>
      </c>
      <c r="X79" s="4">
        <v>3</v>
      </c>
      <c r="AB79" s="4" t="b">
        <v>0</v>
      </c>
      <c r="AC79" s="4">
        <v>3</v>
      </c>
    </row>
    <row r="80" spans="1:29" x14ac:dyDescent="0.15">
      <c r="A80" s="4">
        <v>20077</v>
      </c>
      <c r="B80" s="4" t="s">
        <v>219</v>
      </c>
      <c r="C80" s="4">
        <v>37</v>
      </c>
      <c r="D80" s="4" t="s">
        <v>231</v>
      </c>
      <c r="E80" s="4">
        <v>3</v>
      </c>
      <c r="F80" s="3" t="str">
        <f>SkillAcquire!J80</f>
        <v>,,3,12,,8,</v>
      </c>
      <c r="G80" s="4">
        <v>1.1000000000000001</v>
      </c>
      <c r="H80" s="4">
        <v>2</v>
      </c>
      <c r="I80" s="4">
        <v>1</v>
      </c>
      <c r="J80" s="4">
        <v>3</v>
      </c>
      <c r="L80" s="4" t="s">
        <v>426</v>
      </c>
      <c r="M80" s="4">
        <v>2</v>
      </c>
      <c r="N80">
        <v>2</v>
      </c>
      <c r="V80" s="4">
        <v>1</v>
      </c>
      <c r="W80" s="4" t="b">
        <v>1</v>
      </c>
      <c r="X80" s="4">
        <v>3</v>
      </c>
      <c r="AB80" s="4" t="b">
        <v>0</v>
      </c>
      <c r="AC80" s="4">
        <v>3</v>
      </c>
    </row>
    <row r="81" spans="1:34" x14ac:dyDescent="0.15">
      <c r="A81" s="4">
        <v>20078</v>
      </c>
      <c r="B81" s="4" t="s">
        <v>220</v>
      </c>
      <c r="C81" s="4">
        <v>38</v>
      </c>
      <c r="D81" s="4" t="s">
        <v>232</v>
      </c>
      <c r="E81" s="4">
        <v>4</v>
      </c>
      <c r="F81" s="3" t="str">
        <f>SkillAcquire!J81</f>
        <v>12,,,,21,,</v>
      </c>
      <c r="G81" s="4">
        <v>1.1000000000000001</v>
      </c>
      <c r="H81" s="4">
        <v>2</v>
      </c>
      <c r="I81" s="4">
        <v>1</v>
      </c>
      <c r="J81" s="4">
        <v>3</v>
      </c>
      <c r="L81" s="4" t="s">
        <v>426</v>
      </c>
      <c r="M81" s="4">
        <v>2</v>
      </c>
      <c r="N81">
        <v>2</v>
      </c>
      <c r="V81" s="4">
        <v>1</v>
      </c>
      <c r="W81" s="4" t="b">
        <v>1</v>
      </c>
      <c r="X81" s="4">
        <v>3</v>
      </c>
      <c r="AB81" s="4" t="b">
        <v>0</v>
      </c>
      <c r="AC81" s="4">
        <v>3</v>
      </c>
    </row>
    <row r="82" spans="1:34" x14ac:dyDescent="0.15">
      <c r="A82" s="4">
        <v>20079</v>
      </c>
      <c r="B82" s="4" t="s">
        <v>221</v>
      </c>
      <c r="C82" s="4">
        <v>39</v>
      </c>
      <c r="D82" s="4" t="s">
        <v>233</v>
      </c>
      <c r="E82" s="4">
        <v>4</v>
      </c>
      <c r="F82" s="3" t="str">
        <f>SkillAcquire!J82</f>
        <v>,8,,8,21,15,</v>
      </c>
      <c r="G82" s="4">
        <v>1.1000000000000001</v>
      </c>
      <c r="H82" s="4">
        <v>2</v>
      </c>
      <c r="I82" s="4">
        <v>1</v>
      </c>
      <c r="J82" s="4">
        <v>3</v>
      </c>
      <c r="L82" s="4" t="s">
        <v>426</v>
      </c>
      <c r="M82" s="4">
        <v>2</v>
      </c>
      <c r="N82">
        <v>2</v>
      </c>
      <c r="V82" s="4">
        <v>1</v>
      </c>
      <c r="W82" s="4" t="b">
        <v>1</v>
      </c>
      <c r="X82" s="4">
        <v>3</v>
      </c>
      <c r="AB82" s="4" t="b">
        <v>0</v>
      </c>
      <c r="AC82" s="4">
        <v>3</v>
      </c>
    </row>
    <row r="83" spans="1:34" x14ac:dyDescent="0.15">
      <c r="A83" s="4">
        <v>20080</v>
      </c>
      <c r="B83" s="4" t="s">
        <v>222</v>
      </c>
      <c r="C83" s="4">
        <v>40</v>
      </c>
      <c r="D83" s="4" t="s">
        <v>234</v>
      </c>
      <c r="E83" s="4">
        <v>5</v>
      </c>
      <c r="F83" s="3" t="str">
        <f>SkillAcquire!J83</f>
        <v>,,5,5,5,12,</v>
      </c>
      <c r="G83" s="4">
        <v>1.1000000000000001</v>
      </c>
      <c r="H83" s="4">
        <v>2</v>
      </c>
      <c r="I83" s="4">
        <v>1</v>
      </c>
      <c r="J83" s="4">
        <v>3</v>
      </c>
      <c r="L83" s="4" t="s">
        <v>426</v>
      </c>
      <c r="M83" s="4">
        <v>2</v>
      </c>
      <c r="N83">
        <v>2</v>
      </c>
      <c r="V83" s="4">
        <v>1</v>
      </c>
      <c r="W83" s="4" t="b">
        <v>1</v>
      </c>
      <c r="X83" s="4">
        <v>3</v>
      </c>
      <c r="AB83" s="4" t="b">
        <v>0</v>
      </c>
      <c r="AC83" s="4">
        <v>3</v>
      </c>
    </row>
    <row r="84" spans="1:34" x14ac:dyDescent="0.15">
      <c r="A84" s="4">
        <v>20081</v>
      </c>
      <c r="B84" s="4" t="s">
        <v>223</v>
      </c>
      <c r="C84" s="4">
        <v>39</v>
      </c>
      <c r="D84" s="4" t="s">
        <v>235</v>
      </c>
      <c r="E84" s="4">
        <v>5</v>
      </c>
      <c r="F84" s="3" t="str">
        <f>SkillAcquire!J84</f>
        <v>,12,,5,8,21,12</v>
      </c>
      <c r="G84" s="4">
        <v>1.1000000000000001</v>
      </c>
      <c r="H84" s="4">
        <v>2</v>
      </c>
      <c r="I84" s="4">
        <v>1</v>
      </c>
      <c r="J84" s="4">
        <v>3</v>
      </c>
      <c r="L84" s="4" t="s">
        <v>426</v>
      </c>
      <c r="M84" s="4">
        <v>2</v>
      </c>
      <c r="N84">
        <v>2</v>
      </c>
      <c r="V84" s="4">
        <v>1</v>
      </c>
      <c r="W84" s="4" t="b">
        <v>1</v>
      </c>
      <c r="X84" s="4">
        <v>3</v>
      </c>
      <c r="AB84" s="4" t="b">
        <v>0</v>
      </c>
      <c r="AC84" s="4">
        <v>3</v>
      </c>
    </row>
    <row r="85" spans="1:34" x14ac:dyDescent="0.15">
      <c r="A85" s="4">
        <v>20082</v>
      </c>
      <c r="B85" s="4" t="s">
        <v>224</v>
      </c>
      <c r="C85" s="4">
        <v>40</v>
      </c>
      <c r="D85" s="4" t="s">
        <v>236</v>
      </c>
      <c r="E85" s="4">
        <v>6</v>
      </c>
      <c r="F85" s="3" t="str">
        <f>SkillAcquire!J85</f>
        <v>1,,,,,,</v>
      </c>
      <c r="G85" s="4">
        <v>1.1000000000000001</v>
      </c>
      <c r="H85" s="4">
        <v>2</v>
      </c>
      <c r="I85" s="4">
        <v>1</v>
      </c>
      <c r="J85" s="4">
        <v>3</v>
      </c>
      <c r="L85" s="4" t="s">
        <v>426</v>
      </c>
      <c r="M85" s="4">
        <v>2</v>
      </c>
      <c r="N85">
        <v>2</v>
      </c>
      <c r="V85" s="4">
        <v>1</v>
      </c>
      <c r="W85" s="4" t="b">
        <v>1</v>
      </c>
      <c r="X85" s="4">
        <v>3</v>
      </c>
      <c r="AB85" s="4" t="b">
        <v>0</v>
      </c>
      <c r="AC85" s="4">
        <v>3</v>
      </c>
    </row>
    <row r="86" spans="1:34" x14ac:dyDescent="0.15">
      <c r="A86" s="4">
        <v>20083</v>
      </c>
      <c r="B86" s="4" t="s">
        <v>268</v>
      </c>
      <c r="C86" s="4">
        <v>0</v>
      </c>
      <c r="D86" s="4" t="s">
        <v>272</v>
      </c>
      <c r="E86" s="4">
        <v>7</v>
      </c>
      <c r="F86" s="3" t="s">
        <v>280</v>
      </c>
      <c r="G86" s="4">
        <v>1.1000000000000001</v>
      </c>
      <c r="H86" s="4">
        <v>0</v>
      </c>
      <c r="I86" s="4">
        <v>0</v>
      </c>
      <c r="J86" s="4">
        <v>1</v>
      </c>
      <c r="L86" s="4" t="s">
        <v>370</v>
      </c>
      <c r="M86" s="4">
        <v>3</v>
      </c>
      <c r="N86">
        <v>2</v>
      </c>
      <c r="R86" s="4" t="s">
        <v>325</v>
      </c>
      <c r="S86" s="4">
        <v>0.52</v>
      </c>
      <c r="V86" s="4">
        <v>2</v>
      </c>
      <c r="W86" s="4" t="b">
        <v>1</v>
      </c>
      <c r="X86" s="4">
        <v>1</v>
      </c>
      <c r="AB86" s="4" t="b">
        <v>0</v>
      </c>
      <c r="AC86" s="4">
        <v>3</v>
      </c>
    </row>
    <row r="87" spans="1:34" x14ac:dyDescent="0.15">
      <c r="A87" s="4">
        <v>20084</v>
      </c>
      <c r="B87" s="4" t="s">
        <v>278</v>
      </c>
      <c r="C87" s="4">
        <v>0</v>
      </c>
      <c r="D87" s="4" t="s">
        <v>273</v>
      </c>
      <c r="E87" s="4">
        <v>7</v>
      </c>
      <c r="F87" s="3" t="s">
        <v>280</v>
      </c>
      <c r="G87" s="4">
        <v>1.1000000000000001</v>
      </c>
      <c r="H87" s="4">
        <v>0</v>
      </c>
      <c r="I87" s="4">
        <v>1</v>
      </c>
      <c r="J87" s="4">
        <v>1</v>
      </c>
      <c r="L87" s="4" t="s">
        <v>370</v>
      </c>
      <c r="M87" s="4">
        <v>3</v>
      </c>
      <c r="N87">
        <v>2</v>
      </c>
      <c r="R87" s="4" t="s">
        <v>325</v>
      </c>
      <c r="S87" s="4">
        <v>0.52</v>
      </c>
      <c r="V87" s="4">
        <v>2</v>
      </c>
      <c r="W87" s="4" t="b">
        <v>1</v>
      </c>
      <c r="X87" s="4">
        <v>2</v>
      </c>
      <c r="AB87" s="4" t="b">
        <v>0</v>
      </c>
      <c r="AC87" s="4">
        <v>3</v>
      </c>
      <c r="AE87" s="4" t="b">
        <v>1</v>
      </c>
      <c r="AF87" s="4">
        <v>30004</v>
      </c>
      <c r="AG87" s="4" t="str">
        <f>INDEX(Buff!$E$1:$E$18,MATCH(AF87,Buff!$A$1:$A$18,0),0)</f>
        <v>NoInjury</v>
      </c>
      <c r="AH87" t="s">
        <v>390</v>
      </c>
    </row>
    <row r="88" spans="1:34" x14ac:dyDescent="0.15">
      <c r="A88" s="4">
        <v>20085</v>
      </c>
      <c r="B88" s="4" t="s">
        <v>269</v>
      </c>
      <c r="C88" s="4">
        <v>0</v>
      </c>
      <c r="D88" s="4" t="s">
        <v>273</v>
      </c>
      <c r="E88" s="4">
        <v>7</v>
      </c>
      <c r="F88" s="3" t="s">
        <v>280</v>
      </c>
      <c r="G88" s="4">
        <v>1.1000000000000001</v>
      </c>
      <c r="H88" s="4">
        <v>0</v>
      </c>
      <c r="I88" s="4">
        <v>0</v>
      </c>
      <c r="J88" s="4">
        <v>4</v>
      </c>
      <c r="K88" s="4">
        <v>2</v>
      </c>
      <c r="L88" s="4" t="s">
        <v>370</v>
      </c>
      <c r="M88" s="4">
        <v>0</v>
      </c>
      <c r="N88" s="4">
        <v>1</v>
      </c>
      <c r="O88" s="4" t="s">
        <v>295</v>
      </c>
      <c r="R88" s="4" t="s">
        <v>325</v>
      </c>
      <c r="S88" s="4">
        <v>0.52</v>
      </c>
      <c r="V88" s="4">
        <v>2</v>
      </c>
      <c r="W88" s="4" t="b">
        <v>1</v>
      </c>
      <c r="X88" s="4">
        <v>1</v>
      </c>
      <c r="Z88" s="4" t="b">
        <v>1</v>
      </c>
      <c r="AA88" s="5" t="s">
        <v>286</v>
      </c>
      <c r="AB88" s="4" t="b">
        <v>0</v>
      </c>
      <c r="AC88" s="4">
        <v>3</v>
      </c>
      <c r="AE88" s="4" t="b">
        <v>1</v>
      </c>
      <c r="AF88" s="4">
        <v>30008</v>
      </c>
      <c r="AG88" s="4" t="str">
        <f>INDEX(Buff!$E$1:$E$18,MATCH(AF88,Buff!$A$1:$A$18,0),0)</f>
        <v>Seal</v>
      </c>
      <c r="AH88" t="s">
        <v>389</v>
      </c>
    </row>
    <row r="89" spans="1:34" x14ac:dyDescent="0.15">
      <c r="A89" s="4">
        <v>20086</v>
      </c>
      <c r="B89" s="4" t="s">
        <v>270</v>
      </c>
      <c r="C89" s="4">
        <v>0</v>
      </c>
      <c r="D89" s="4" t="s">
        <v>276</v>
      </c>
      <c r="E89" s="4">
        <v>7</v>
      </c>
      <c r="F89" s="3" t="s">
        <v>280</v>
      </c>
      <c r="G89" s="4">
        <v>1.1000000000000001</v>
      </c>
      <c r="H89" s="4">
        <v>0</v>
      </c>
      <c r="I89" s="4">
        <v>0</v>
      </c>
      <c r="J89" s="4">
        <v>1</v>
      </c>
      <c r="L89" s="4" t="s">
        <v>370</v>
      </c>
      <c r="M89" s="4">
        <v>3</v>
      </c>
      <c r="N89">
        <v>2</v>
      </c>
      <c r="R89" s="4" t="s">
        <v>325</v>
      </c>
      <c r="S89" s="4">
        <v>0.52</v>
      </c>
      <c r="V89" s="4">
        <v>2</v>
      </c>
      <c r="W89" s="4" t="b">
        <v>1</v>
      </c>
      <c r="X89" s="4">
        <v>1</v>
      </c>
      <c r="AB89" s="4" t="b">
        <v>0</v>
      </c>
      <c r="AC89" s="4">
        <v>2</v>
      </c>
      <c r="AD89" s="4" t="s">
        <v>282</v>
      </c>
      <c r="AE89" s="4" t="b">
        <v>1</v>
      </c>
      <c r="AF89" s="4">
        <v>30011</v>
      </c>
      <c r="AG89" s="4" t="str">
        <f>INDEX(Buff!$E$1:$E$18,MATCH(AF89,Buff!$A$1:$A$18,0),0)</f>
        <v>Chaos</v>
      </c>
      <c r="AH89" t="s">
        <v>388</v>
      </c>
    </row>
    <row r="90" spans="1:34" x14ac:dyDescent="0.15">
      <c r="A90" s="4">
        <v>20087</v>
      </c>
      <c r="B90" s="4" t="s">
        <v>271</v>
      </c>
      <c r="C90" s="4">
        <v>0</v>
      </c>
      <c r="D90" s="4" t="s">
        <v>274</v>
      </c>
      <c r="E90" s="4">
        <v>7</v>
      </c>
      <c r="F90" s="3" t="s">
        <v>280</v>
      </c>
      <c r="G90" s="4">
        <v>1.1000000000000001</v>
      </c>
      <c r="H90" s="4">
        <v>0</v>
      </c>
      <c r="I90" s="4">
        <v>0</v>
      </c>
      <c r="J90" s="4">
        <v>3</v>
      </c>
      <c r="L90" s="4" t="s">
        <v>370</v>
      </c>
      <c r="M90" s="4">
        <v>0</v>
      </c>
      <c r="N90" s="4">
        <v>1</v>
      </c>
      <c r="O90" s="4" t="s">
        <v>294</v>
      </c>
      <c r="R90" s="4" t="s">
        <v>325</v>
      </c>
      <c r="S90" s="4">
        <v>0.52</v>
      </c>
      <c r="V90" s="4">
        <v>2</v>
      </c>
      <c r="W90" s="4" t="b">
        <v>1</v>
      </c>
      <c r="X90" s="4">
        <v>1</v>
      </c>
      <c r="AA90" s="5" t="s">
        <v>285</v>
      </c>
      <c r="AB90" s="4" t="b">
        <v>0</v>
      </c>
      <c r="AC90" s="4">
        <v>3</v>
      </c>
      <c r="AE90" s="4" t="b">
        <v>1</v>
      </c>
      <c r="AF90" s="4">
        <v>30012</v>
      </c>
      <c r="AG90" s="4" t="str">
        <f>INDEX(Buff!$E$1:$E$18,MATCH(AF90,Buff!$A$1:$A$18,0),0)</f>
        <v>Taunt </v>
      </c>
      <c r="AH90" t="s">
        <v>388</v>
      </c>
    </row>
    <row r="91" spans="1:34" x14ac:dyDescent="0.15">
      <c r="A91" s="4">
        <v>20088</v>
      </c>
      <c r="B91" s="4" t="s">
        <v>279</v>
      </c>
      <c r="C91" s="4">
        <v>0</v>
      </c>
      <c r="D91" s="4" t="s">
        <v>275</v>
      </c>
      <c r="E91" s="4">
        <v>7</v>
      </c>
      <c r="F91" s="3" t="s">
        <v>280</v>
      </c>
      <c r="G91" s="4">
        <v>1.1000000000000001</v>
      </c>
      <c r="H91" s="4">
        <v>0</v>
      </c>
      <c r="I91" s="4">
        <v>0</v>
      </c>
      <c r="J91" s="4">
        <v>1</v>
      </c>
      <c r="L91" s="4" t="s">
        <v>370</v>
      </c>
      <c r="M91" s="4">
        <v>3</v>
      </c>
      <c r="N91">
        <v>2</v>
      </c>
      <c r="R91" s="4" t="s">
        <v>325</v>
      </c>
      <c r="S91" s="4">
        <v>0.52</v>
      </c>
      <c r="V91" s="4">
        <v>2</v>
      </c>
      <c r="W91" s="4" t="b">
        <v>1</v>
      </c>
      <c r="X91" s="4">
        <v>1</v>
      </c>
      <c r="AB91" s="4" t="b">
        <v>0</v>
      </c>
      <c r="AC91" s="4">
        <v>3</v>
      </c>
      <c r="AE91" s="4" t="b">
        <v>1</v>
      </c>
      <c r="AF91" s="4">
        <v>30015</v>
      </c>
      <c r="AG91" s="4" t="str">
        <f>INDEX(Buff!$E$1:$E$18,MATCH(AF91,Buff!$A$1:$A$18,0),0)</f>
        <v>Palsy</v>
      </c>
      <c r="AH91" t="s">
        <v>391</v>
      </c>
    </row>
    <row r="92" spans="1:34" x14ac:dyDescent="0.15">
      <c r="A92" s="4">
        <v>20089</v>
      </c>
      <c r="B92" s="4" t="s">
        <v>298</v>
      </c>
      <c r="C92" s="4">
        <v>21</v>
      </c>
      <c r="D92" s="4" t="s">
        <v>434</v>
      </c>
      <c r="E92" s="4">
        <v>5</v>
      </c>
      <c r="F92" s="3" t="s">
        <v>431</v>
      </c>
      <c r="G92" s="4">
        <v>0.6</v>
      </c>
      <c r="H92" s="4">
        <v>100</v>
      </c>
      <c r="I92" s="4">
        <v>1</v>
      </c>
      <c r="J92" s="4">
        <v>3</v>
      </c>
      <c r="L92" s="4" t="s">
        <v>426</v>
      </c>
      <c r="M92" s="4">
        <v>0</v>
      </c>
      <c r="N92" s="4">
        <v>1</v>
      </c>
      <c r="O92" s="4" t="s">
        <v>296</v>
      </c>
      <c r="R92" s="4" t="s">
        <v>325</v>
      </c>
      <c r="S92" s="4">
        <v>0.52</v>
      </c>
      <c r="V92" s="4">
        <v>2</v>
      </c>
      <c r="W92" s="4" t="b">
        <v>1</v>
      </c>
      <c r="X92" s="4">
        <v>5</v>
      </c>
      <c r="Y92" s="4">
        <v>0.15</v>
      </c>
      <c r="Z92" s="4" t="b">
        <v>1</v>
      </c>
      <c r="AA92" s="5" t="s">
        <v>328</v>
      </c>
      <c r="AB92" s="4" t="b">
        <v>0</v>
      </c>
      <c r="AC92" s="4">
        <v>3</v>
      </c>
      <c r="AE92" s="4" t="b">
        <v>1</v>
      </c>
      <c r="AF92" s="4">
        <v>30002</v>
      </c>
      <c r="AG92" s="4" t="str">
        <f>INDEX(Buff!$E$1:$E$18,MATCH(AF92,Buff!$A$1:$A$18,0),0)</f>
        <v>Skip</v>
      </c>
      <c r="AH92" t="s">
        <v>388</v>
      </c>
    </row>
    <row r="93" spans="1:34" x14ac:dyDescent="0.15">
      <c r="A93" s="4">
        <v>20090</v>
      </c>
      <c r="B93" s="4" t="s">
        <v>303</v>
      </c>
      <c r="C93" s="4">
        <v>22</v>
      </c>
      <c r="D93" s="4" t="s">
        <v>435</v>
      </c>
      <c r="E93" s="4">
        <v>1</v>
      </c>
      <c r="F93" s="3" t="s">
        <v>431</v>
      </c>
      <c r="G93" s="4">
        <v>0.6</v>
      </c>
      <c r="H93" s="4">
        <v>80</v>
      </c>
      <c r="I93" s="4">
        <v>1</v>
      </c>
      <c r="J93" s="4">
        <v>3</v>
      </c>
      <c r="L93" s="4" t="s">
        <v>426</v>
      </c>
      <c r="M93" s="4">
        <v>0</v>
      </c>
      <c r="N93" s="4">
        <v>1</v>
      </c>
      <c r="O93" s="4" t="s">
        <v>294</v>
      </c>
      <c r="R93" s="4" t="s">
        <v>325</v>
      </c>
      <c r="S93" s="4">
        <v>0.52</v>
      </c>
      <c r="V93" s="4">
        <v>2</v>
      </c>
      <c r="W93" s="4" t="b">
        <v>1</v>
      </c>
      <c r="X93" s="4">
        <v>3</v>
      </c>
      <c r="Y93" s="4">
        <v>0.25</v>
      </c>
      <c r="Z93" s="4" t="b">
        <v>1</v>
      </c>
      <c r="AA93" s="5" t="s">
        <v>301</v>
      </c>
      <c r="AB93" s="4" t="b">
        <v>0</v>
      </c>
      <c r="AC93" s="4">
        <v>3</v>
      </c>
    </row>
    <row r="94" spans="1:34" x14ac:dyDescent="0.15">
      <c r="A94" s="4">
        <v>20091</v>
      </c>
      <c r="B94" s="4" t="s">
        <v>432</v>
      </c>
      <c r="C94" s="4">
        <v>23</v>
      </c>
      <c r="D94" s="4" t="s">
        <v>433</v>
      </c>
      <c r="E94" s="4">
        <v>1</v>
      </c>
      <c r="F94" s="3" t="s">
        <v>431</v>
      </c>
      <c r="G94" s="4">
        <v>1.3</v>
      </c>
      <c r="H94" s="4">
        <v>60</v>
      </c>
      <c r="I94" s="4">
        <v>1</v>
      </c>
      <c r="J94" s="4">
        <v>1</v>
      </c>
      <c r="L94" s="4" t="s">
        <v>426</v>
      </c>
      <c r="M94" s="4">
        <v>2</v>
      </c>
      <c r="N94" s="4">
        <v>0</v>
      </c>
      <c r="O94" s="4" t="s">
        <v>293</v>
      </c>
      <c r="V94" s="4">
        <v>1</v>
      </c>
      <c r="W94" s="4" t="b">
        <v>0</v>
      </c>
      <c r="AB94" s="4" t="b">
        <v>0</v>
      </c>
      <c r="AC94" s="4">
        <v>6</v>
      </c>
      <c r="AD94" s="4">
        <v>1</v>
      </c>
    </row>
    <row r="95" spans="1:34" x14ac:dyDescent="0.15">
      <c r="A95" s="4">
        <v>20092</v>
      </c>
      <c r="B95" s="4" t="s">
        <v>316</v>
      </c>
      <c r="C95" s="4">
        <v>24</v>
      </c>
      <c r="D95" s="4" t="s">
        <v>436</v>
      </c>
      <c r="E95" s="4">
        <v>1</v>
      </c>
      <c r="F95" s="3" t="s">
        <v>431</v>
      </c>
      <c r="G95" s="4">
        <v>0.6</v>
      </c>
      <c r="H95" s="4">
        <v>50</v>
      </c>
      <c r="I95" s="4">
        <v>1</v>
      </c>
      <c r="J95" s="4">
        <v>3</v>
      </c>
      <c r="L95" s="4" t="s">
        <v>426</v>
      </c>
      <c r="M95" s="4">
        <v>2</v>
      </c>
      <c r="N95" s="4">
        <v>0</v>
      </c>
      <c r="O95" s="4" t="s">
        <v>293</v>
      </c>
      <c r="V95" s="4">
        <v>1</v>
      </c>
      <c r="W95" s="4" t="b">
        <v>1</v>
      </c>
      <c r="X95" s="4">
        <v>3</v>
      </c>
      <c r="AB95" s="4" t="b">
        <v>1</v>
      </c>
      <c r="AC95" s="4">
        <v>3</v>
      </c>
      <c r="AE95" s="4" t="b">
        <v>1</v>
      </c>
      <c r="AF95" s="4">
        <v>30013</v>
      </c>
      <c r="AG95" s="4" t="str">
        <f>INDEX(Buff!$E$1:$E$18,MATCH(AF95,Buff!$A$1:$A$18,0),0)</f>
        <v>HP</v>
      </c>
      <c r="AH95" t="s">
        <v>417</v>
      </c>
    </row>
    <row r="96" spans="1:34" x14ac:dyDescent="0.15">
      <c r="A96" s="4">
        <v>20093</v>
      </c>
      <c r="B96" s="4" t="s">
        <v>438</v>
      </c>
      <c r="C96" s="4">
        <v>25</v>
      </c>
      <c r="D96" s="4" t="s">
        <v>446</v>
      </c>
      <c r="E96" s="4">
        <v>1</v>
      </c>
      <c r="F96" s="3" t="s">
        <v>431</v>
      </c>
      <c r="G96" s="4">
        <v>0.7</v>
      </c>
      <c r="H96" s="4">
        <v>60</v>
      </c>
      <c r="I96" s="4">
        <v>1</v>
      </c>
      <c r="J96" s="4">
        <v>1</v>
      </c>
      <c r="L96" s="4" t="s">
        <v>426</v>
      </c>
      <c r="M96" s="4">
        <v>2</v>
      </c>
      <c r="N96" s="4">
        <v>0</v>
      </c>
      <c r="O96" s="4" t="s">
        <v>293</v>
      </c>
      <c r="V96" s="4">
        <v>1</v>
      </c>
      <c r="W96" s="4" t="b">
        <v>0</v>
      </c>
      <c r="AB96" s="4" t="b">
        <v>1</v>
      </c>
      <c r="AC96" s="4">
        <v>0</v>
      </c>
      <c r="AD96" s="4" t="s">
        <v>309</v>
      </c>
    </row>
    <row r="97" spans="1:34" x14ac:dyDescent="0.15">
      <c r="A97" s="4">
        <v>20094</v>
      </c>
      <c r="B97" s="4" t="s">
        <v>439</v>
      </c>
      <c r="C97" s="4">
        <v>26</v>
      </c>
      <c r="D97" s="4" t="s">
        <v>440</v>
      </c>
      <c r="E97" s="4">
        <v>1</v>
      </c>
      <c r="F97" s="3" t="s">
        <v>431</v>
      </c>
      <c r="G97" s="4">
        <v>1.1000000000000001</v>
      </c>
      <c r="H97" s="4">
        <v>60</v>
      </c>
      <c r="I97" s="4">
        <v>1</v>
      </c>
      <c r="J97" s="4">
        <v>1</v>
      </c>
      <c r="L97" s="4" t="s">
        <v>426</v>
      </c>
      <c r="M97" s="4">
        <v>2</v>
      </c>
      <c r="N97" s="4">
        <v>0</v>
      </c>
      <c r="O97" s="4" t="s">
        <v>293</v>
      </c>
      <c r="V97" s="4">
        <v>1</v>
      </c>
      <c r="W97" s="4" t="b">
        <v>0</v>
      </c>
      <c r="AB97" s="4" t="b">
        <v>1</v>
      </c>
      <c r="AC97" s="4">
        <v>1</v>
      </c>
      <c r="AD97" s="4" t="s">
        <v>311</v>
      </c>
    </row>
    <row r="98" spans="1:34" x14ac:dyDescent="0.15">
      <c r="A98" s="4">
        <v>20095</v>
      </c>
      <c r="B98" s="4" t="s">
        <v>317</v>
      </c>
      <c r="C98" s="4">
        <v>27</v>
      </c>
      <c r="D98" s="4" t="s">
        <v>437</v>
      </c>
      <c r="E98" s="4">
        <v>1</v>
      </c>
      <c r="F98" s="3" t="s">
        <v>431</v>
      </c>
      <c r="G98" s="4">
        <v>1.3</v>
      </c>
      <c r="H98" s="4">
        <v>60</v>
      </c>
      <c r="I98" s="4">
        <v>1</v>
      </c>
      <c r="J98" s="4">
        <v>3</v>
      </c>
      <c r="L98" s="4" t="s">
        <v>426</v>
      </c>
      <c r="M98" s="4">
        <v>2</v>
      </c>
      <c r="N98" s="4">
        <v>0</v>
      </c>
      <c r="O98" s="4" t="s">
        <v>293</v>
      </c>
      <c r="V98" s="4">
        <v>1</v>
      </c>
      <c r="W98" s="4" t="b">
        <v>0</v>
      </c>
      <c r="AB98" s="4" t="b">
        <v>1</v>
      </c>
      <c r="AC98" s="4">
        <v>2</v>
      </c>
      <c r="AD98" s="4" t="s">
        <v>313</v>
      </c>
    </row>
    <row r="99" spans="1:34" x14ac:dyDescent="0.15">
      <c r="A99" s="4">
        <v>20096</v>
      </c>
      <c r="B99" s="4" t="s">
        <v>441</v>
      </c>
      <c r="C99" s="4">
        <v>28</v>
      </c>
      <c r="D99" s="4" t="s">
        <v>442</v>
      </c>
      <c r="E99" s="4">
        <v>1</v>
      </c>
      <c r="F99" s="3" t="s">
        <v>431</v>
      </c>
      <c r="G99" s="4">
        <v>1.4</v>
      </c>
      <c r="H99" s="4">
        <v>80</v>
      </c>
      <c r="I99" s="4">
        <v>1</v>
      </c>
      <c r="J99" s="4">
        <v>3</v>
      </c>
      <c r="L99" s="4" t="s">
        <v>426</v>
      </c>
      <c r="M99" s="4">
        <v>2</v>
      </c>
      <c r="N99" s="4">
        <v>0</v>
      </c>
      <c r="O99" s="4" t="s">
        <v>293</v>
      </c>
      <c r="V99" s="4">
        <v>1</v>
      </c>
      <c r="W99" s="4" t="b">
        <v>0</v>
      </c>
      <c r="AB99" s="4" t="b">
        <v>0</v>
      </c>
      <c r="AC99" s="4">
        <v>4</v>
      </c>
      <c r="AD99" s="4">
        <v>2</v>
      </c>
    </row>
    <row r="100" spans="1:34" x14ac:dyDescent="0.15">
      <c r="A100" s="4">
        <v>20097</v>
      </c>
      <c r="B100" s="4" t="s">
        <v>443</v>
      </c>
      <c r="C100" s="4">
        <v>29</v>
      </c>
      <c r="D100" s="4" t="s">
        <v>445</v>
      </c>
      <c r="E100" s="4">
        <v>1</v>
      </c>
      <c r="F100" s="3" t="s">
        <v>431</v>
      </c>
      <c r="G100" s="4">
        <v>0.7</v>
      </c>
      <c r="H100" s="4">
        <v>80</v>
      </c>
      <c r="I100" s="4">
        <v>1</v>
      </c>
      <c r="J100" s="4">
        <v>3</v>
      </c>
      <c r="L100" s="4" t="s">
        <v>426</v>
      </c>
      <c r="M100" s="4">
        <v>2</v>
      </c>
      <c r="N100" s="4">
        <v>0</v>
      </c>
      <c r="O100" s="4" t="s">
        <v>293</v>
      </c>
      <c r="V100" s="4">
        <v>1</v>
      </c>
      <c r="W100" s="4" t="b">
        <v>0</v>
      </c>
      <c r="AB100" s="4" t="b">
        <v>1</v>
      </c>
      <c r="AC100" s="4">
        <v>5</v>
      </c>
      <c r="AD100" s="4">
        <v>1</v>
      </c>
    </row>
    <row r="101" spans="1:34" x14ac:dyDescent="0.15">
      <c r="A101" s="4">
        <v>20098</v>
      </c>
      <c r="B101" s="4" t="s">
        <v>323</v>
      </c>
      <c r="C101" s="4">
        <v>30</v>
      </c>
      <c r="D101" s="4" t="s">
        <v>444</v>
      </c>
      <c r="E101" s="4">
        <v>2</v>
      </c>
      <c r="F101" s="3" t="s">
        <v>431</v>
      </c>
      <c r="G101" s="4">
        <v>1.5</v>
      </c>
      <c r="H101" s="4">
        <v>70</v>
      </c>
      <c r="I101" s="4">
        <v>1</v>
      </c>
      <c r="J101" s="4">
        <v>3</v>
      </c>
      <c r="L101" s="4" t="s">
        <v>426</v>
      </c>
      <c r="M101" s="4">
        <v>2</v>
      </c>
      <c r="N101" s="4">
        <v>1</v>
      </c>
      <c r="O101" s="4" t="s">
        <v>324</v>
      </c>
      <c r="P101" s="4">
        <v>0.55000000000000004</v>
      </c>
      <c r="Q101" s="4">
        <v>0.2</v>
      </c>
      <c r="R101" s="4" t="s">
        <v>325</v>
      </c>
      <c r="S101" s="4">
        <v>0.52</v>
      </c>
      <c r="T101" s="4" t="s">
        <v>326</v>
      </c>
      <c r="U101" s="4">
        <v>1</v>
      </c>
      <c r="V101" s="4">
        <v>1</v>
      </c>
      <c r="W101" s="4" t="b">
        <v>1</v>
      </c>
      <c r="X101" s="4">
        <v>1</v>
      </c>
      <c r="AB101" s="4" t="b">
        <v>0</v>
      </c>
      <c r="AC101" s="4">
        <v>5</v>
      </c>
      <c r="AD101" s="4">
        <v>1</v>
      </c>
    </row>
    <row r="102" spans="1:34" ht="12.75" customHeight="1" x14ac:dyDescent="0.15">
      <c r="A102" s="4">
        <v>20099</v>
      </c>
      <c r="B102" s="4" t="s">
        <v>414</v>
      </c>
      <c r="C102" s="4">
        <v>31</v>
      </c>
      <c r="D102" s="4" t="s">
        <v>447</v>
      </c>
      <c r="E102" s="4">
        <v>5</v>
      </c>
      <c r="F102" s="3" t="s">
        <v>431</v>
      </c>
      <c r="G102" s="4">
        <v>1.1000000000000001</v>
      </c>
      <c r="H102" s="4">
        <v>30</v>
      </c>
      <c r="I102" s="4">
        <v>1</v>
      </c>
      <c r="J102" s="4">
        <v>3</v>
      </c>
      <c r="L102" s="4" t="s">
        <v>427</v>
      </c>
      <c r="M102" s="4">
        <v>4</v>
      </c>
      <c r="N102">
        <v>2</v>
      </c>
      <c r="R102" s="4" t="s">
        <v>325</v>
      </c>
      <c r="S102" s="4">
        <v>0.52</v>
      </c>
      <c r="T102" s="4" t="s">
        <v>326</v>
      </c>
      <c r="U102" s="4">
        <v>1</v>
      </c>
      <c r="V102" s="4">
        <v>0</v>
      </c>
      <c r="W102" s="4" t="b">
        <v>1</v>
      </c>
      <c r="AB102" s="4" t="b">
        <v>0</v>
      </c>
      <c r="AC102" s="4">
        <v>7</v>
      </c>
      <c r="AE102" s="4" t="b">
        <v>1</v>
      </c>
      <c r="AF102" s="4">
        <v>30018</v>
      </c>
      <c r="AG102" s="4" t="str">
        <f>INDEX(Buff!$E$1:$E$22,MATCH(AF102,Buff!$A$1:$A$22,0),0)</f>
        <v>HPNow</v>
      </c>
      <c r="AH102" t="s">
        <v>418</v>
      </c>
    </row>
    <row r="103" spans="1:34" ht="12.75" customHeight="1" x14ac:dyDescent="0.15">
      <c r="A103" s="4">
        <v>20100</v>
      </c>
      <c r="B103" s="4" t="s">
        <v>415</v>
      </c>
      <c r="C103" s="4">
        <v>32</v>
      </c>
      <c r="D103" s="4" t="s">
        <v>448</v>
      </c>
      <c r="E103" s="4">
        <v>5</v>
      </c>
      <c r="F103" s="3" t="s">
        <v>431</v>
      </c>
      <c r="G103" s="4">
        <v>1.1000000000000001</v>
      </c>
      <c r="H103" s="4">
        <v>50</v>
      </c>
      <c r="I103" s="4">
        <v>1</v>
      </c>
      <c r="J103" s="4">
        <v>3</v>
      </c>
      <c r="L103" s="4" t="s">
        <v>427</v>
      </c>
      <c r="M103" s="4">
        <v>4</v>
      </c>
      <c r="N103">
        <v>2</v>
      </c>
      <c r="R103" s="4" t="s">
        <v>325</v>
      </c>
      <c r="S103" s="4">
        <v>0.52</v>
      </c>
      <c r="T103" s="4" t="s">
        <v>326</v>
      </c>
      <c r="U103" s="4">
        <v>1</v>
      </c>
      <c r="V103" s="4">
        <v>0</v>
      </c>
      <c r="W103" s="4" t="b">
        <v>1</v>
      </c>
      <c r="AB103" s="4" t="b">
        <v>0</v>
      </c>
      <c r="AC103" s="4">
        <v>8</v>
      </c>
      <c r="AE103" s="4" t="b">
        <v>1</v>
      </c>
      <c r="AF103" s="4">
        <v>30018</v>
      </c>
      <c r="AG103" s="4" t="str">
        <f>INDEX(Buff!$E$1:$E$22,MATCH(AF103,Buff!$A$1:$A$22,0),0)</f>
        <v>HPNow</v>
      </c>
      <c r="AH103" t="s">
        <v>420</v>
      </c>
    </row>
    <row r="104" spans="1:34" x14ac:dyDescent="0.15">
      <c r="A104" s="4">
        <v>20101</v>
      </c>
      <c r="B104" s="4" t="s">
        <v>416</v>
      </c>
      <c r="C104" s="4">
        <v>33</v>
      </c>
      <c r="D104" s="4" t="s">
        <v>449</v>
      </c>
      <c r="E104" s="4">
        <v>5</v>
      </c>
      <c r="F104" s="3" t="s">
        <v>431</v>
      </c>
      <c r="G104" s="4">
        <v>1.1000000000000001</v>
      </c>
      <c r="H104" s="4">
        <v>100</v>
      </c>
      <c r="I104" s="4">
        <v>1</v>
      </c>
      <c r="J104" s="4">
        <v>3</v>
      </c>
      <c r="L104" s="4" t="s">
        <v>427</v>
      </c>
      <c r="M104" s="4">
        <v>4</v>
      </c>
      <c r="N104">
        <v>2</v>
      </c>
      <c r="R104" s="4" t="s">
        <v>325</v>
      </c>
      <c r="S104" s="4">
        <v>0.52</v>
      </c>
      <c r="T104" s="4" t="s">
        <v>326</v>
      </c>
      <c r="U104" s="4">
        <v>1</v>
      </c>
      <c r="V104" s="4">
        <v>0</v>
      </c>
      <c r="W104" s="4" t="b">
        <v>1</v>
      </c>
      <c r="AB104" s="4" t="b">
        <v>0</v>
      </c>
      <c r="AC104" s="4">
        <v>9</v>
      </c>
      <c r="AE104" s="4" t="b">
        <v>1</v>
      </c>
      <c r="AF104" s="4">
        <v>30018</v>
      </c>
      <c r="AG104" s="4" t="str">
        <f>INDEX(Buff!$E$1:$E$22,MATCH(AF104,Buff!$A$1:$A$22,0),0)</f>
        <v>HPNow</v>
      </c>
      <c r="AH104" t="s">
        <v>419</v>
      </c>
    </row>
  </sheetData>
  <autoFilter ref="A3:H85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"/>
  <sheetViews>
    <sheetView tabSelected="1" workbookViewId="0">
      <selection activeCell="E28" sqref="E28"/>
    </sheetView>
  </sheetViews>
  <sheetFormatPr defaultRowHeight="13.5" x14ac:dyDescent="0.15"/>
  <cols>
    <col min="1" max="2" width="9" style="4"/>
    <col min="3" max="3" width="17.5" style="4" customWidth="1"/>
    <col min="4" max="4" width="18.375" style="4" customWidth="1"/>
    <col min="5" max="6" width="9" style="4"/>
    <col min="7" max="7" width="15.125" style="4" customWidth="1"/>
    <col min="8" max="9" width="9" style="4"/>
  </cols>
  <sheetData>
    <row r="1" spans="1:12" x14ac:dyDescent="0.15">
      <c r="H1" s="4" t="s">
        <v>350</v>
      </c>
      <c r="I1" s="4" t="s">
        <v>349</v>
      </c>
      <c r="J1" t="s">
        <v>357</v>
      </c>
      <c r="K1" s="4" t="s">
        <v>379</v>
      </c>
      <c r="L1" s="4" t="s">
        <v>379</v>
      </c>
    </row>
    <row r="2" spans="1:12" x14ac:dyDescent="0.15">
      <c r="A2" s="4" t="s">
        <v>26</v>
      </c>
      <c r="B2" s="4" t="s">
        <v>27</v>
      </c>
      <c r="C2" s="4" t="s">
        <v>382</v>
      </c>
      <c r="D2" s="4" t="s">
        <v>347</v>
      </c>
      <c r="E2" s="4" t="s">
        <v>377</v>
      </c>
      <c r="F2" s="4" t="s">
        <v>351</v>
      </c>
      <c r="G2" s="4" t="s">
        <v>359</v>
      </c>
      <c r="H2" s="4" t="s">
        <v>348</v>
      </c>
      <c r="I2" s="4" t="s">
        <v>30</v>
      </c>
      <c r="J2" s="4" t="s">
        <v>383</v>
      </c>
      <c r="K2" s="4" t="s">
        <v>384</v>
      </c>
      <c r="L2" s="4" t="s">
        <v>385</v>
      </c>
    </row>
    <row r="3" spans="1:12" x14ac:dyDescent="0.15">
      <c r="A3" s="4" t="s">
        <v>44</v>
      </c>
      <c r="B3" s="4" t="s">
        <v>118</v>
      </c>
      <c r="D3" s="4" t="s">
        <v>21</v>
      </c>
      <c r="E3" s="4" t="s">
        <v>20</v>
      </c>
      <c r="F3" s="4" t="s">
        <v>20</v>
      </c>
      <c r="G3" s="4" t="s">
        <v>361</v>
      </c>
    </row>
    <row r="4" spans="1:12" x14ac:dyDescent="0.15">
      <c r="A4" s="4">
        <v>30001</v>
      </c>
      <c r="B4" s="4" t="s">
        <v>28</v>
      </c>
      <c r="D4" s="4" t="s">
        <v>392</v>
      </c>
      <c r="E4" s="4">
        <v>0</v>
      </c>
      <c r="F4" s="4">
        <v>0</v>
      </c>
      <c r="G4" s="4" t="s">
        <v>360</v>
      </c>
    </row>
    <row r="5" spans="1:12" x14ac:dyDescent="0.15">
      <c r="A5" s="4">
        <v>30002</v>
      </c>
      <c r="B5" s="4" t="s">
        <v>29</v>
      </c>
      <c r="D5" s="4" t="s">
        <v>410</v>
      </c>
      <c r="E5" s="4">
        <v>1</v>
      </c>
      <c r="F5" s="4">
        <v>1</v>
      </c>
      <c r="G5" s="4" t="s">
        <v>360</v>
      </c>
    </row>
    <row r="6" spans="1:12" x14ac:dyDescent="0.15">
      <c r="A6" s="4">
        <v>30003</v>
      </c>
      <c r="B6" s="4" t="s">
        <v>31</v>
      </c>
      <c r="D6" s="4" t="s">
        <v>409</v>
      </c>
      <c r="E6" s="4">
        <v>2</v>
      </c>
      <c r="F6" s="4">
        <v>0</v>
      </c>
      <c r="G6" s="4" t="s">
        <v>360</v>
      </c>
    </row>
    <row r="7" spans="1:12" x14ac:dyDescent="0.15">
      <c r="A7" s="4">
        <v>30004</v>
      </c>
      <c r="B7" s="4" t="s">
        <v>32</v>
      </c>
      <c r="D7" s="4" t="s">
        <v>408</v>
      </c>
      <c r="E7" s="4">
        <v>3</v>
      </c>
      <c r="F7" s="4">
        <v>0</v>
      </c>
      <c r="G7" s="4" t="s">
        <v>360</v>
      </c>
    </row>
    <row r="8" spans="1:12" x14ac:dyDescent="0.15">
      <c r="A8" s="4">
        <v>30005</v>
      </c>
      <c r="B8" s="4" t="s">
        <v>421</v>
      </c>
      <c r="D8" s="4" t="s">
        <v>404</v>
      </c>
      <c r="E8" s="4">
        <v>4</v>
      </c>
      <c r="F8" s="4">
        <v>0</v>
      </c>
      <c r="G8" s="4" t="s">
        <v>360</v>
      </c>
    </row>
    <row r="9" spans="1:12" x14ac:dyDescent="0.15">
      <c r="A9" s="4">
        <v>30006</v>
      </c>
      <c r="B9" s="4" t="s">
        <v>33</v>
      </c>
      <c r="D9" s="4" t="s">
        <v>403</v>
      </c>
      <c r="E9" s="4">
        <v>1</v>
      </c>
      <c r="F9" s="4">
        <v>1</v>
      </c>
      <c r="G9" s="4" t="s">
        <v>360</v>
      </c>
    </row>
    <row r="10" spans="1:12" x14ac:dyDescent="0.15">
      <c r="A10" s="4">
        <v>30007</v>
      </c>
      <c r="B10" s="4" t="s">
        <v>34</v>
      </c>
      <c r="D10" s="4" t="s">
        <v>405</v>
      </c>
      <c r="E10" s="4">
        <v>6</v>
      </c>
      <c r="F10" s="4">
        <v>0</v>
      </c>
      <c r="G10" s="4" t="s">
        <v>360</v>
      </c>
    </row>
    <row r="11" spans="1:12" x14ac:dyDescent="0.15">
      <c r="A11" s="4">
        <v>30008</v>
      </c>
      <c r="B11" s="4" t="s">
        <v>35</v>
      </c>
      <c r="D11" s="4" t="s">
        <v>400</v>
      </c>
      <c r="E11" s="4">
        <v>7</v>
      </c>
      <c r="F11" s="4">
        <v>1</v>
      </c>
      <c r="G11" s="4" t="s">
        <v>360</v>
      </c>
    </row>
    <row r="12" spans="1:12" x14ac:dyDescent="0.15">
      <c r="A12" s="4">
        <v>30009</v>
      </c>
      <c r="B12" s="4" t="s">
        <v>362</v>
      </c>
      <c r="D12" s="4" t="s">
        <v>401</v>
      </c>
      <c r="E12" s="4">
        <v>8</v>
      </c>
      <c r="F12" s="4">
        <v>0</v>
      </c>
      <c r="G12" s="4" t="s">
        <v>360</v>
      </c>
    </row>
    <row r="13" spans="1:12" x14ac:dyDescent="0.15">
      <c r="A13" s="4">
        <v>30010</v>
      </c>
      <c r="B13" s="4" t="s">
        <v>36</v>
      </c>
      <c r="D13" s="4" t="s">
        <v>407</v>
      </c>
      <c r="E13" s="4">
        <v>12</v>
      </c>
      <c r="F13" s="4">
        <v>1</v>
      </c>
      <c r="G13" s="4" t="s">
        <v>360</v>
      </c>
    </row>
    <row r="14" spans="1:12" x14ac:dyDescent="0.15">
      <c r="A14" s="4">
        <v>30011</v>
      </c>
      <c r="B14" s="4" t="s">
        <v>37</v>
      </c>
      <c r="D14" s="4" t="s">
        <v>402</v>
      </c>
      <c r="E14" s="4">
        <v>9</v>
      </c>
      <c r="F14" s="4">
        <v>1</v>
      </c>
      <c r="G14" s="4" t="s">
        <v>360</v>
      </c>
    </row>
    <row r="15" spans="1:12" x14ac:dyDescent="0.15">
      <c r="A15" s="4">
        <v>30012</v>
      </c>
      <c r="B15" s="4" t="s">
        <v>38</v>
      </c>
      <c r="D15" s="4" t="s">
        <v>406</v>
      </c>
      <c r="E15" s="4">
        <v>10</v>
      </c>
      <c r="F15" s="4">
        <v>1</v>
      </c>
      <c r="G15" s="4" t="s">
        <v>360</v>
      </c>
    </row>
    <row r="16" spans="1:12" x14ac:dyDescent="0.15">
      <c r="A16" s="4">
        <v>30013</v>
      </c>
      <c r="B16" s="4" t="s">
        <v>39</v>
      </c>
      <c r="D16" s="4" t="s">
        <v>395</v>
      </c>
      <c r="E16" s="4">
        <v>4</v>
      </c>
      <c r="F16" s="4">
        <v>1</v>
      </c>
      <c r="G16" s="4" t="s">
        <v>360</v>
      </c>
    </row>
    <row r="17" spans="1:7" x14ac:dyDescent="0.15">
      <c r="A17" s="4">
        <v>30014</v>
      </c>
      <c r="B17" s="4" t="s">
        <v>40</v>
      </c>
      <c r="D17" s="4" t="s">
        <v>396</v>
      </c>
      <c r="E17" s="4">
        <v>0</v>
      </c>
      <c r="F17" s="4">
        <v>1</v>
      </c>
      <c r="G17" s="4" t="s">
        <v>360</v>
      </c>
    </row>
    <row r="18" spans="1:7" x14ac:dyDescent="0.15">
      <c r="A18" s="4">
        <v>30015</v>
      </c>
      <c r="B18" s="4" t="s">
        <v>41</v>
      </c>
      <c r="C18" s="4" t="s">
        <v>381</v>
      </c>
      <c r="D18" s="4" t="s">
        <v>397</v>
      </c>
      <c r="E18" s="4">
        <v>11</v>
      </c>
      <c r="F18" s="4">
        <v>1</v>
      </c>
      <c r="G18" s="4" t="s">
        <v>360</v>
      </c>
    </row>
    <row r="19" spans="1:7" x14ac:dyDescent="0.15">
      <c r="A19" s="4">
        <v>30016</v>
      </c>
      <c r="B19" s="4" t="s">
        <v>393</v>
      </c>
      <c r="D19" s="4" t="s">
        <v>394</v>
      </c>
      <c r="E19" s="4">
        <v>4</v>
      </c>
      <c r="F19" s="4">
        <v>1</v>
      </c>
      <c r="G19" s="4" t="s">
        <v>360</v>
      </c>
    </row>
    <row r="20" spans="1:7" x14ac:dyDescent="0.15">
      <c r="A20" s="4">
        <v>30017</v>
      </c>
      <c r="B20" s="4" t="s">
        <v>398</v>
      </c>
      <c r="D20" s="4" t="s">
        <v>399</v>
      </c>
      <c r="E20" s="4">
        <v>1</v>
      </c>
      <c r="F20" s="4">
        <v>1</v>
      </c>
      <c r="G20" s="4" t="s">
        <v>360</v>
      </c>
    </row>
    <row r="21" spans="1:7" x14ac:dyDescent="0.15">
      <c r="A21" s="4">
        <v>30018</v>
      </c>
      <c r="B21" s="4" t="s">
        <v>422</v>
      </c>
      <c r="D21" s="4" t="s">
        <v>404</v>
      </c>
      <c r="E21" s="4">
        <v>13</v>
      </c>
      <c r="F21" s="4">
        <v>0</v>
      </c>
      <c r="G21" s="4" t="s">
        <v>424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baseType="lpstr" size="6">
      <vt:lpstr>SkillAcquire</vt:lpstr>
      <vt:lpstr>Sheet1</vt:lpstr>
      <vt:lpstr>Matrix</vt:lpstr>
      <vt:lpstr>Skill</vt:lpstr>
      <vt:lpstr>Buff</vt:lpstr>
      <vt:lpstr>Skill!_FilterDatabase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2026-09-07T16:21:46Z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